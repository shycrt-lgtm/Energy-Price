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2025년\J. 단가등록\요금단가 공지용 (25.7~12)\"/>
    </mc:Choice>
  </mc:AlternateContent>
  <xr:revisionPtr revIDLastSave="0" documentId="13_ncr:1_{6F8E7475-9F4E-478B-A55B-181738CB821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경기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8" i="1" l="1"/>
  <c r="F16" i="1" l="1"/>
  <c r="F23" i="1" l="1"/>
  <c r="F7" i="1" l="1"/>
  <c r="F29" i="1"/>
  <c r="F19" i="1"/>
  <c r="F37" i="1"/>
  <c r="F31" i="1"/>
  <c r="F21" i="1"/>
  <c r="F15" i="1"/>
  <c r="F36" i="1"/>
  <c r="F30" i="1"/>
  <c r="F25" i="1"/>
  <c r="F20" i="1"/>
  <c r="F10" i="1"/>
  <c r="F39" i="1"/>
  <c r="F33" i="1"/>
  <c r="F26" i="1"/>
  <c r="F11" i="1"/>
  <c r="F6" i="1"/>
  <c r="F35" i="1"/>
  <c r="F28" i="1"/>
  <c r="F18" i="1"/>
  <c r="F13" i="1"/>
  <c r="F9" i="1"/>
  <c r="F17" i="1"/>
  <c r="F32" i="1"/>
  <c r="F22" i="1"/>
  <c r="F27" i="1"/>
  <c r="F24" i="1"/>
  <c r="F12" i="1"/>
  <c r="F34" i="1"/>
  <c r="F14" i="1"/>
  <c r="F38" i="1"/>
</calcChain>
</file>

<file path=xl/sharedStrings.xml><?xml version="1.0" encoding="utf-8"?>
<sst xmlns="http://schemas.openxmlformats.org/spreadsheetml/2006/main" count="58" uniqueCount="56">
  <si>
    <t>판매단가</t>
  </si>
  <si>
    <t>주택난방</t>
  </si>
  <si>
    <t>업무난방</t>
  </si>
  <si>
    <t>산 업 용</t>
  </si>
  <si>
    <t xml:space="preserve"> - 최대부하</t>
  </si>
  <si>
    <t xml:space="preserve"> - 중간부하</t>
  </si>
  <si>
    <t xml:space="preserve"> - 경부하</t>
  </si>
  <si>
    <t>취사용</t>
  </si>
  <si>
    <t>난방용</t>
  </si>
  <si>
    <t>업무용</t>
  </si>
  <si>
    <t>하절기(5~9월)</t>
    <phoneticPr fontId="5" type="noConversion"/>
  </si>
  <si>
    <t>도시가스 요금 단가표(경기도)</t>
    <phoneticPr fontId="5" type="noConversion"/>
  </si>
  <si>
    <t>(단위:원/MJ,VAT별도)</t>
    <phoneticPr fontId="5" type="noConversion"/>
  </si>
  <si>
    <t>판매단가 증감</t>
    <phoneticPr fontId="5" type="noConversion"/>
  </si>
  <si>
    <t>비고</t>
    <phoneticPr fontId="5" type="noConversion"/>
  </si>
  <si>
    <t>[B- A]</t>
    <phoneticPr fontId="5" type="noConversion"/>
  </si>
  <si>
    <t>업무난방(미군시설)</t>
    <phoneticPr fontId="5" type="noConversion"/>
  </si>
  <si>
    <t>협정단가</t>
    <phoneticPr fontId="5" type="noConversion"/>
  </si>
  <si>
    <t>동절기(1~3,12월)</t>
    <phoneticPr fontId="5" type="noConversion"/>
  </si>
  <si>
    <t>기타월(4,10,11월)</t>
    <phoneticPr fontId="5" type="noConversion"/>
  </si>
  <si>
    <t>연료전지용</t>
    <phoneticPr fontId="5" type="noConversion"/>
  </si>
  <si>
    <t>특별단가
(군사시설)</t>
    <phoneticPr fontId="5" type="noConversion"/>
  </si>
  <si>
    <t>영업용1</t>
    <phoneticPr fontId="5" type="noConversion"/>
  </si>
  <si>
    <t>동절기(1~3,12월)</t>
    <phoneticPr fontId="5" type="noConversion"/>
  </si>
  <si>
    <t>하절기(5~9월)</t>
    <phoneticPr fontId="5" type="noConversion"/>
  </si>
  <si>
    <t>수송용</t>
    <phoneticPr fontId="5" type="noConversion"/>
  </si>
  <si>
    <r>
      <t>       ※ 도시가스 요금 원료비 연동제 시행에 따른 도매 원료비 용도별 차등 적용 </t>
    </r>
    <r>
      <rPr>
        <b/>
        <sz val="10"/>
        <color rgb="FF2E2E2E"/>
        <rFont val="Malgun Gothic"/>
        <family val="3"/>
        <charset val="129"/>
      </rPr>
      <t> </t>
    </r>
    <r>
      <rPr>
        <b/>
        <sz val="12"/>
        <color rgb="FF2E2E2E"/>
        <rFont val="Malgun Gothic"/>
        <family val="3"/>
        <charset val="129"/>
      </rPr>
      <t>   </t>
    </r>
  </si>
  <si>
    <t># 첨부. 2021.1. 1. 기준 단가 변동표 1부. 끝.</t>
  </si>
  <si>
    <r>
      <t xml:space="preserve">1. 요금 단가 </t>
    </r>
    <r>
      <rPr>
        <b/>
        <sz val="12"/>
        <color theme="1"/>
        <rFont val="Malgun Gothic"/>
        <family val="3"/>
        <charset val="129"/>
      </rPr>
      <t>변동 안내 ('21. 2/1 기준) </t>
    </r>
    <phoneticPr fontId="2" type="noConversion"/>
  </si>
  <si>
    <r>
      <t>   </t>
    </r>
    <r>
      <rPr>
        <sz val="12"/>
        <color rgb="FF2E2E2E"/>
        <rFont val="Malgun Gothic"/>
        <family val="3"/>
        <charset val="129"/>
      </rPr>
      <t xml:space="preserve">     </t>
    </r>
    <r>
      <rPr>
        <b/>
        <sz val="12"/>
        <color rgb="FF2E2E2E"/>
        <rFont val="Malgun Gothic"/>
        <family val="3"/>
        <charset val="129"/>
      </rPr>
      <t>- 상업용 : +0</t>
    </r>
    <r>
      <rPr>
        <b/>
        <sz val="12"/>
        <color theme="1"/>
        <rFont val="Malgun Gothic"/>
        <family val="3"/>
        <charset val="129"/>
      </rPr>
      <t>.8095</t>
    </r>
    <r>
      <rPr>
        <b/>
        <sz val="12"/>
        <color rgb="FF2E2E2E"/>
        <rFont val="Malgun Gothic"/>
        <family val="3"/>
        <charset val="129"/>
      </rPr>
      <t>원/MJ</t>
    </r>
    <r>
      <rPr>
        <sz val="12"/>
        <color rgb="FF2E2E2E"/>
        <rFont val="Malgun Gothic"/>
        <family val="3"/>
        <charset val="129"/>
      </rPr>
      <t xml:space="preserve"> (+34.4467원/㎥), </t>
    </r>
    <phoneticPr fontId="2" type="noConversion"/>
  </si>
  <si>
    <r>
      <t>        </t>
    </r>
    <r>
      <rPr>
        <b/>
        <sz val="12"/>
        <color rgb="FF2E2E2E"/>
        <rFont val="Malgun Gothic"/>
        <family val="3"/>
        <charset val="129"/>
      </rPr>
      <t>- 도시가스발전용 : +0.8095원/MJ </t>
    </r>
    <r>
      <rPr>
        <sz val="12"/>
        <color rgb="FF2E2E2E"/>
        <rFont val="Malgun Gothic"/>
        <family val="3"/>
        <charset val="129"/>
      </rPr>
      <t xml:space="preserve">(+34.4467원/㎥), 상업용과 동일, </t>
    </r>
    <phoneticPr fontId="2" type="noConversion"/>
  </si>
  <si>
    <r>
      <t>   ○  도매 단가  </t>
    </r>
    <r>
      <rPr>
        <b/>
        <sz val="8"/>
        <color rgb="FF2E2E2E"/>
        <rFont val="Malgun Gothic"/>
        <family val="3"/>
        <charset val="129"/>
      </rPr>
      <t>(</t>
    </r>
    <r>
      <rPr>
        <sz val="8"/>
        <color rgb="FF2E2E2E"/>
        <rFont val="Malgun Gothic"/>
        <family val="3"/>
        <charset val="129"/>
      </rPr>
      <t>기준 평균열량:  42.553MJ/N㎥)</t>
    </r>
    <r>
      <rPr>
        <b/>
        <sz val="12"/>
        <color rgb="FF2E2E2E"/>
        <rFont val="Malgun Gothic"/>
        <family val="3"/>
        <charset val="129"/>
      </rPr>
      <t>        평균 6.5% 증가</t>
    </r>
    <phoneticPr fontId="2" type="noConversion"/>
  </si>
  <si>
    <t>수소제조용</t>
    <phoneticPr fontId="2" type="noConversion"/>
  </si>
  <si>
    <t>▷ 경기도 취사,난방세대 기본요금(1,200원) 적용</t>
    <phoneticPr fontId="5" type="noConversion"/>
  </si>
  <si>
    <t>직영충전소</t>
    <phoneticPr fontId="5" type="noConversion"/>
  </si>
  <si>
    <t>자영충전소</t>
    <phoneticPr fontId="5" type="noConversion"/>
  </si>
  <si>
    <t>차량충전 수소제조</t>
    <phoneticPr fontId="2" type="noConversion"/>
  </si>
  <si>
    <t>영 업 용 1</t>
    <phoneticPr fontId="2" type="noConversion"/>
  </si>
  <si>
    <t>영 업 용 2</t>
    <phoneticPr fontId="2" type="noConversion"/>
  </si>
  <si>
    <t>공동주택 열병합</t>
    <phoneticPr fontId="5" type="noConversion"/>
  </si>
  <si>
    <t>공동주택외 열병합</t>
    <phoneticPr fontId="5" type="noConversion"/>
  </si>
  <si>
    <t>사회복지시설</t>
    <phoneticPr fontId="5" type="noConversion"/>
  </si>
  <si>
    <t>취 사 용</t>
    <phoneticPr fontId="2" type="noConversion"/>
  </si>
  <si>
    <t>수송용</t>
    <phoneticPr fontId="2" type="noConversion"/>
  </si>
  <si>
    <t>용도 구분</t>
    <phoneticPr fontId="5" type="noConversion"/>
  </si>
  <si>
    <r>
      <t xml:space="preserve">지역열병합 </t>
    </r>
    <r>
      <rPr>
        <sz val="8"/>
        <rFont val="맑은 고딕"/>
        <family val="3"/>
        <charset val="129"/>
      </rPr>
      <t>집단에너지 사업허가</t>
    </r>
    <phoneticPr fontId="5" type="noConversion"/>
  </si>
  <si>
    <r>
      <t xml:space="preserve">지역열병합(HOB) </t>
    </r>
    <r>
      <rPr>
        <sz val="10"/>
        <rFont val="맑은 고딕"/>
        <family val="3"/>
        <charset val="129"/>
      </rPr>
      <t>집단에너지 사업허가</t>
    </r>
    <phoneticPr fontId="5" type="noConversion"/>
  </si>
  <si>
    <r>
      <t xml:space="preserve">지역열병합(HOB) </t>
    </r>
    <r>
      <rPr>
        <sz val="10"/>
        <rFont val="맑은 고딕"/>
        <family val="3"/>
        <charset val="129"/>
      </rPr>
      <t>'03.1.1이후 신규(추가)분 한함</t>
    </r>
    <phoneticPr fontId="5" type="noConversion"/>
  </si>
  <si>
    <r>
      <t xml:space="preserve">공동주택 열병합 </t>
    </r>
    <r>
      <rPr>
        <sz val="8"/>
        <rFont val="맑은 고딕"/>
        <family val="3"/>
        <charset val="129"/>
      </rPr>
      <t>(열전용보일러)</t>
    </r>
    <phoneticPr fontId="5" type="noConversion"/>
  </si>
  <si>
    <r>
      <t xml:space="preserve">공동주택외 열병합 </t>
    </r>
    <r>
      <rPr>
        <sz val="8"/>
        <rFont val="맑은 고딕"/>
        <family val="3"/>
        <charset val="129"/>
      </rPr>
      <t>(열전용보일러)</t>
    </r>
    <phoneticPr fontId="5" type="noConversion"/>
  </si>
  <si>
    <t>냉난방공조용</t>
    <phoneticPr fontId="2" type="noConversion"/>
  </si>
  <si>
    <t>냉난방
공조용</t>
    <phoneticPr fontId="5" type="noConversion"/>
  </si>
  <si>
    <t>개별소비세
0.7678원/MJ
면제
('17.12.28.변동)</t>
    <phoneticPr fontId="5" type="noConversion"/>
  </si>
  <si>
    <t>(작성일:2025. 04. 01)</t>
    <phoneticPr fontId="5" type="noConversion"/>
  </si>
  <si>
    <t>A) 2025.03.01</t>
    <phoneticPr fontId="5" type="noConversion"/>
  </si>
  <si>
    <t>B) 2025.04.01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</si>
</sst>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76" formatCode="0.00_);[Red]\(0.00\)"/>
    <numFmt numFmtId="177" formatCode="0.00000_);[Red]\(0.00000\)"/>
    <numFmt numFmtId="178" formatCode="_-* #,##0.0000_-;\-* #,##0.0000_-;_-* &quot;-&quot;_-;_-@_-"/>
    <numFmt numFmtId="179" formatCode="_ * #,##0.00_ ;_ * &quot;▽&quot;#,##0.00_ ;_ * &quot;-&quot;??_ ;_ @_ "/>
    <numFmt numFmtId="180" formatCode="_-* #,##0.0000_-;\-* #,##0.0000_-;_-* &quot;-&quot;??_-;_-@_-"/>
    <numFmt numFmtId="181" formatCode="_ * #,##0.00_ ;_ * \-#,##0.00_ ;_ * &quot;-&quot;_ ;_ @_ "/>
    <numFmt numFmtId="182" formatCode="0.0%"/>
    <numFmt numFmtId="183" formatCode="_ * &quot;+&quot;#,##0.0000_ ;_ * &quot;▼&quot;#,##0.0000_ ;_ * &quot;-&quot;??_ ;_ @_ "/>
  </numFmts>
  <fonts count="2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6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HY울릉도L"/>
      <family val="1"/>
      <charset val="129"/>
    </font>
    <font>
      <sz val="10"/>
      <name val="HY울릉도L"/>
      <family val="1"/>
      <charset val="129"/>
    </font>
    <font>
      <sz val="10"/>
      <name val="맑은 고딕"/>
      <family val="3"/>
      <charset val="129"/>
    </font>
    <font>
      <b/>
      <sz val="12"/>
      <name val="HY울릉도L"/>
      <family val="1"/>
      <charset val="129"/>
    </font>
    <font>
      <b/>
      <sz val="11"/>
      <name val="HY울릉도L"/>
      <family val="1"/>
      <charset val="129"/>
    </font>
    <font>
      <sz val="10"/>
      <name val="돋움"/>
      <family val="3"/>
      <charset val="129"/>
    </font>
    <font>
      <b/>
      <sz val="12"/>
      <color theme="1"/>
      <name val="Malgun Gothic"/>
      <family val="3"/>
      <charset val="129"/>
    </font>
    <font>
      <b/>
      <sz val="12"/>
      <color rgb="FF2E2E2E"/>
      <name val="Malgun Gothic"/>
      <family val="3"/>
      <charset val="129"/>
    </font>
    <font>
      <sz val="12"/>
      <color rgb="FF2E2E2E"/>
      <name val="Malgun Gothic"/>
      <family val="3"/>
      <charset val="129"/>
    </font>
    <font>
      <b/>
      <sz val="8"/>
      <color rgb="FF2E2E2E"/>
      <name val="Malgun Gothic"/>
      <family val="3"/>
      <charset val="129"/>
    </font>
    <font>
      <sz val="8"/>
      <color rgb="FF2E2E2E"/>
      <name val="Malgun Gothic"/>
      <family val="3"/>
      <charset val="129"/>
    </font>
    <font>
      <b/>
      <sz val="10"/>
      <color rgb="FF2E2E2E"/>
      <name val="Malgun Gothic"/>
      <family val="3"/>
      <charset val="129"/>
    </font>
    <font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</font>
    <font>
      <sz val="12"/>
      <name val="맑은 고딕"/>
      <family val="3"/>
      <charset val="129"/>
    </font>
    <font>
      <sz val="12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3" fillId="0" borderId="0" xfId="3" applyAlignment="1">
      <alignment horizontal="left"/>
    </xf>
    <xf numFmtId="43" fontId="6" fillId="0" borderId="0" xfId="3" applyNumberFormat="1" applyFont="1" applyAlignment="1">
      <alignment vertical="center" shrinkToFit="1"/>
    </xf>
    <xf numFmtId="176" fontId="6" fillId="0" borderId="0" xfId="3" applyNumberFormat="1" applyFont="1" applyAlignment="1">
      <alignment horizontal="center" vertical="center" shrinkToFit="1"/>
    </xf>
    <xf numFmtId="0" fontId="7" fillId="0" borderId="0" xfId="3" applyFont="1" applyAlignment="1">
      <alignment horizontal="right"/>
    </xf>
    <xf numFmtId="0" fontId="3" fillId="0" borderId="0" xfId="3"/>
    <xf numFmtId="180" fontId="3" fillId="0" borderId="0" xfId="3" applyNumberFormat="1"/>
    <xf numFmtId="176" fontId="3" fillId="0" borderId="0" xfId="3" applyNumberFormat="1"/>
    <xf numFmtId="0" fontId="9" fillId="0" borderId="0" xfId="3" applyFont="1" applyBorder="1" applyAlignment="1">
      <alignment horizontal="left" vertical="center" shrinkToFit="1"/>
    </xf>
    <xf numFmtId="176" fontId="9" fillId="0" borderId="0" xfId="3" applyNumberFormat="1" applyFont="1" applyBorder="1" applyAlignment="1">
      <alignment horizontal="center" vertical="center" shrinkToFit="1"/>
    </xf>
    <xf numFmtId="176" fontId="9" fillId="0" borderId="0" xfId="3" applyNumberFormat="1" applyFont="1" applyBorder="1" applyAlignment="1">
      <alignment horizontal="left" vertical="center" shrinkToFit="1"/>
    </xf>
    <xf numFmtId="0" fontId="10" fillId="0" borderId="0" xfId="3" applyFont="1" applyBorder="1" applyAlignment="1">
      <alignment horizontal="left" vertical="center"/>
    </xf>
    <xf numFmtId="178" fontId="9" fillId="0" borderId="0" xfId="3" applyNumberFormat="1" applyFont="1" applyBorder="1" applyAlignment="1">
      <alignment horizontal="left" vertical="center" shrinkToFit="1"/>
    </xf>
    <xf numFmtId="182" fontId="9" fillId="0" borderId="0" xfId="2" applyNumberFormat="1" applyFont="1" applyBorder="1" applyAlignment="1">
      <alignment horizontal="left" vertical="center" shrinkToFit="1"/>
    </xf>
    <xf numFmtId="0" fontId="11" fillId="0" borderId="0" xfId="3" applyFont="1"/>
    <xf numFmtId="178" fontId="3" fillId="0" borderId="0" xfId="3" applyNumberFormat="1"/>
    <xf numFmtId="176" fontId="3" fillId="0" borderId="0" xfId="3" applyNumberFormat="1" applyAlignment="1">
      <alignment horizontal="center"/>
    </xf>
    <xf numFmtId="43" fontId="3" fillId="0" borderId="0" xfId="3" applyNumberFormat="1"/>
    <xf numFmtId="182" fontId="1" fillId="0" borderId="0" xfId="2" applyNumberFormat="1" applyAlignment="1"/>
    <xf numFmtId="0" fontId="13" fillId="0" borderId="0" xfId="0" applyFont="1">
      <alignment vertical="center"/>
    </xf>
    <xf numFmtId="0" fontId="14" fillId="0" borderId="0" xfId="0" applyFont="1">
      <alignment vertical="center"/>
    </xf>
    <xf numFmtId="9" fontId="3" fillId="0" borderId="0" xfId="2" applyFont="1" applyAlignment="1"/>
    <xf numFmtId="182" fontId="3" fillId="0" borderId="0" xfId="2" applyNumberFormat="1" applyFont="1" applyAlignment="1"/>
    <xf numFmtId="41" fontId="3" fillId="0" borderId="0" xfId="1" applyFont="1" applyAlignment="1"/>
    <xf numFmtId="0" fontId="18" fillId="0" borderId="0" xfId="3" applyFont="1"/>
    <xf numFmtId="177" fontId="19" fillId="2" borderId="2" xfId="3" applyNumberFormat="1" applyFont="1" applyFill="1" applyBorder="1" applyAlignment="1">
      <alignment horizontal="center" vertical="center" wrapText="1" shrinkToFit="1"/>
    </xf>
    <xf numFmtId="0" fontId="19" fillId="2" borderId="5" xfId="3" applyFont="1" applyFill="1" applyBorder="1" applyAlignment="1">
      <alignment horizontal="center" vertical="center" shrinkToFit="1"/>
    </xf>
    <xf numFmtId="14" fontId="19" fillId="2" borderId="5" xfId="3" quotePrefix="1" applyNumberFormat="1" applyFont="1" applyFill="1" applyBorder="1" applyAlignment="1">
      <alignment horizontal="center" vertical="center" shrinkToFit="1"/>
    </xf>
    <xf numFmtId="178" fontId="20" fillId="0" borderId="5" xfId="1" applyNumberFormat="1" applyFont="1" applyFill="1" applyBorder="1" applyAlignment="1">
      <alignment vertical="center" shrinkToFit="1"/>
    </xf>
    <xf numFmtId="176" fontId="21" fillId="0" borderId="16" xfId="3" applyNumberFormat="1" applyFont="1" applyBorder="1"/>
    <xf numFmtId="179" fontId="20" fillId="0" borderId="6" xfId="3" applyNumberFormat="1" applyFont="1" applyFill="1" applyBorder="1" applyAlignment="1">
      <alignment vertical="center" shrinkToFit="1"/>
    </xf>
    <xf numFmtId="178" fontId="20" fillId="0" borderId="14" xfId="1" applyNumberFormat="1" applyFont="1" applyFill="1" applyBorder="1" applyAlignment="1">
      <alignment vertical="center" shrinkToFit="1"/>
    </xf>
    <xf numFmtId="179" fontId="20" fillId="0" borderId="6" xfId="3" quotePrefix="1" applyNumberFormat="1" applyFont="1" applyFill="1" applyBorder="1" applyAlignment="1">
      <alignment horizontal="center" vertical="center" wrapText="1" shrinkToFit="1"/>
    </xf>
    <xf numFmtId="179" fontId="20" fillId="0" borderId="6" xfId="3" quotePrefix="1" applyNumberFormat="1" applyFont="1" applyFill="1" applyBorder="1" applyAlignment="1">
      <alignment horizontal="center" vertical="center" shrinkToFit="1"/>
    </xf>
    <xf numFmtId="179" fontId="20" fillId="0" borderId="6" xfId="3" applyNumberFormat="1" applyFont="1" applyFill="1" applyBorder="1" applyAlignment="1">
      <alignment horizontal="center" vertical="center" shrinkToFit="1"/>
    </xf>
    <xf numFmtId="181" fontId="20" fillId="0" borderId="11" xfId="4" applyNumberFormat="1" applyFont="1" applyBorder="1" applyAlignment="1">
      <alignment horizontal="center" vertical="center" wrapText="1" shrinkToFit="1"/>
    </xf>
    <xf numFmtId="0" fontId="24" fillId="0" borderId="5" xfId="3" applyFont="1" applyFill="1" applyBorder="1" applyAlignment="1">
      <alignment horizontal="left" vertical="center" indent="1" shrinkToFit="1"/>
    </xf>
    <xf numFmtId="183" fontId="20" fillId="0" borderId="5" xfId="1" applyNumberFormat="1" applyFont="1" applyFill="1" applyBorder="1" applyAlignment="1">
      <alignment horizontal="center" vertical="center" shrinkToFit="1"/>
    </xf>
    <xf numFmtId="183" fontId="20" fillId="0" borderId="14" xfId="1" applyNumberFormat="1" applyFont="1" applyFill="1" applyBorder="1" applyAlignment="1">
      <alignment horizontal="center" vertical="center" shrinkToFit="1"/>
    </xf>
    <xf numFmtId="0" fontId="19" fillId="0" borderId="4" xfId="3" applyFont="1" applyFill="1" applyBorder="1" applyAlignment="1">
      <alignment horizontal="left" vertical="center" indent="2" shrinkToFit="1"/>
    </xf>
    <xf numFmtId="0" fontId="19" fillId="0" borderId="5" xfId="3" applyFont="1" applyFill="1" applyBorder="1" applyAlignment="1">
      <alignment horizontal="left" vertical="center" indent="2" shrinkToFit="1"/>
    </xf>
    <xf numFmtId="0" fontId="19" fillId="0" borderId="4" xfId="3" applyFont="1" applyFill="1" applyBorder="1" applyAlignment="1">
      <alignment horizontal="left" vertical="center" wrapText="1" indent="2" shrinkToFit="1"/>
    </xf>
    <xf numFmtId="0" fontId="19" fillId="0" borderId="5" xfId="3" applyFont="1" applyFill="1" applyBorder="1" applyAlignment="1">
      <alignment horizontal="left" vertical="center" wrapText="1" indent="2" shrinkToFit="1"/>
    </xf>
    <xf numFmtId="181" fontId="20" fillId="0" borderId="11" xfId="4" applyNumberFormat="1" applyFont="1" applyBorder="1" applyAlignment="1">
      <alignment horizontal="center" vertical="center" wrapText="1" shrinkToFit="1"/>
    </xf>
    <xf numFmtId="181" fontId="20" fillId="0" borderId="12" xfId="4" applyNumberFormat="1" applyFont="1" applyBorder="1" applyAlignment="1">
      <alignment horizontal="center" vertical="center" shrinkToFit="1"/>
    </xf>
    <xf numFmtId="181" fontId="20" fillId="0" borderId="13" xfId="4" applyNumberFormat="1" applyFont="1" applyBorder="1" applyAlignment="1">
      <alignment horizontal="center" vertical="center" shrinkToFit="1"/>
    </xf>
    <xf numFmtId="181" fontId="20" fillId="0" borderId="15" xfId="4" applyNumberFormat="1" applyFont="1" applyBorder="1" applyAlignment="1">
      <alignment horizontal="center" vertical="center" shrinkToFit="1"/>
    </xf>
    <xf numFmtId="0" fontId="19" fillId="0" borderId="5" xfId="3" applyFont="1" applyFill="1" applyBorder="1" applyAlignment="1">
      <alignment horizontal="left" vertical="center" indent="1" shrinkToFit="1"/>
    </xf>
    <xf numFmtId="0" fontId="19" fillId="0" borderId="25" xfId="3" applyFont="1" applyFill="1" applyBorder="1" applyAlignment="1">
      <alignment horizontal="left" vertical="center" wrapText="1" indent="2" shrinkToFit="1"/>
    </xf>
    <xf numFmtId="0" fontId="19" fillId="0" borderId="24" xfId="3" applyFont="1" applyFill="1" applyBorder="1" applyAlignment="1">
      <alignment horizontal="left" vertical="center" wrapText="1" indent="2" shrinkToFit="1"/>
    </xf>
    <xf numFmtId="0" fontId="19" fillId="0" borderId="10" xfId="3" applyFont="1" applyFill="1" applyBorder="1" applyAlignment="1">
      <alignment horizontal="left" vertical="center" wrapText="1" indent="2" shrinkToFit="1"/>
    </xf>
    <xf numFmtId="0" fontId="19" fillId="0" borderId="5" xfId="3" applyFont="1" applyFill="1" applyBorder="1" applyAlignment="1">
      <alignment horizontal="left" vertical="center" wrapText="1" indent="1" shrinkToFit="1"/>
    </xf>
    <xf numFmtId="0" fontId="19" fillId="0" borderId="14" xfId="3" applyFont="1" applyFill="1" applyBorder="1" applyAlignment="1">
      <alignment horizontal="left" vertical="center" indent="1" shrinkToFit="1"/>
    </xf>
    <xf numFmtId="0" fontId="19" fillId="0" borderId="9" xfId="3" applyFont="1" applyFill="1" applyBorder="1" applyAlignment="1">
      <alignment horizontal="left" vertical="center" indent="1" shrinkToFit="1"/>
    </xf>
    <xf numFmtId="0" fontId="19" fillId="0" borderId="10" xfId="3" applyFont="1" applyFill="1" applyBorder="1" applyAlignment="1">
      <alignment horizontal="left" vertical="center" indent="1" shrinkToFit="1"/>
    </xf>
    <xf numFmtId="0" fontId="19" fillId="0" borderId="7" xfId="3" applyFont="1" applyFill="1" applyBorder="1" applyAlignment="1">
      <alignment horizontal="center" vertical="center" wrapText="1" shrinkToFit="1"/>
    </xf>
    <xf numFmtId="0" fontId="19" fillId="0" borderId="8" xfId="3" applyFont="1" applyFill="1" applyBorder="1" applyAlignment="1">
      <alignment horizontal="center" vertical="center" wrapText="1" shrinkToFit="1"/>
    </xf>
    <xf numFmtId="0" fontId="19" fillId="0" borderId="17" xfId="3" applyFont="1" applyFill="1" applyBorder="1" applyAlignment="1">
      <alignment horizontal="center" vertical="center" wrapText="1" shrinkToFit="1"/>
    </xf>
    <xf numFmtId="0" fontId="4" fillId="0" borderId="0" xfId="3" applyFont="1" applyAlignment="1">
      <alignment horizontal="center" vertical="center" shrinkToFit="1"/>
    </xf>
    <xf numFmtId="0" fontId="19" fillId="2" borderId="3" xfId="3" applyFont="1" applyFill="1" applyBorder="1" applyAlignment="1">
      <alignment horizontal="center" vertical="center" wrapText="1" shrinkToFit="1"/>
    </xf>
    <xf numFmtId="0" fontId="19" fillId="2" borderId="6" xfId="3" applyFont="1" applyFill="1" applyBorder="1" applyAlignment="1">
      <alignment horizontal="center" vertical="center" shrinkToFit="1"/>
    </xf>
    <xf numFmtId="0" fontId="19" fillId="2" borderId="18" xfId="3" applyFont="1" applyFill="1" applyBorder="1" applyAlignment="1">
      <alignment horizontal="center" vertical="center" wrapText="1" shrinkToFit="1"/>
    </xf>
    <xf numFmtId="0" fontId="19" fillId="2" borderId="19" xfId="3" applyFont="1" applyFill="1" applyBorder="1" applyAlignment="1">
      <alignment horizontal="center" vertical="center" wrapText="1" shrinkToFit="1"/>
    </xf>
    <xf numFmtId="0" fontId="19" fillId="2" borderId="20" xfId="3" applyFont="1" applyFill="1" applyBorder="1" applyAlignment="1">
      <alignment horizontal="center" vertical="center" wrapText="1" shrinkToFit="1"/>
    </xf>
    <xf numFmtId="0" fontId="19" fillId="2" borderId="21" xfId="3" applyFont="1" applyFill="1" applyBorder="1" applyAlignment="1">
      <alignment horizontal="center" vertical="center" wrapText="1" shrinkToFit="1"/>
    </xf>
    <xf numFmtId="0" fontId="19" fillId="2" borderId="22" xfId="3" applyFont="1" applyFill="1" applyBorder="1" applyAlignment="1">
      <alignment horizontal="center" vertical="center" wrapText="1" shrinkToFit="1"/>
    </xf>
    <xf numFmtId="0" fontId="19" fillId="2" borderId="23" xfId="3" applyFont="1" applyFill="1" applyBorder="1" applyAlignment="1">
      <alignment horizontal="center" vertical="center" wrapText="1" shrinkToFit="1"/>
    </xf>
    <xf numFmtId="0" fontId="22" fillId="0" borderId="1" xfId="3" applyFont="1" applyBorder="1" applyAlignment="1">
      <alignment horizontal="left" vertical="center" shrinkToFit="1"/>
    </xf>
  </cellXfs>
  <cellStyles count="6">
    <cellStyle name="백분율" xfId="2" builtinId="5"/>
    <cellStyle name="쉼표 [0]" xfId="1" builtinId="6"/>
    <cellStyle name="쉼표 [0] 46" xfId="5" xr:uid="{4F15B5D9-FFFE-4BC3-966F-4421FFD2AF2C}"/>
    <cellStyle name="쉼표 [0]_인천요율변경(04.08.02)" xfId="4" xr:uid="{00000000-0005-0000-0000-000002000000}"/>
    <cellStyle name="표준" xfId="0" builtinId="0"/>
    <cellStyle name="표준_인천요율변경(04.08.02)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3"/>
  <sheetViews>
    <sheetView showGridLines="0" tabSelected="1" zoomScale="85" zoomScaleNormal="85" zoomScaleSheetLayoutView="70" workbookViewId="0">
      <pane xSplit="6" ySplit="5" topLeftCell="G6" activePane="bottomRight" state="frozen"/>
      <selection activeCell="C19" sqref="C19"/>
      <selection pane="topRight" activeCell="C19" sqref="C19"/>
      <selection pane="bottomLeft" activeCell="C19" sqref="C19"/>
      <selection pane="bottomRight" activeCell="J15" sqref="J15"/>
    </sheetView>
  </sheetViews>
  <sheetFormatPr defaultColWidth="9" defaultRowHeight="14.4"/>
  <cols>
    <col min="1" max="1" width="13" style="14" customWidth="1"/>
    <col min="2" max="2" width="10.59765625" style="5" customWidth="1"/>
    <col min="3" max="3" width="21.59765625" style="5" customWidth="1"/>
    <col min="4" max="5" width="16.69921875" style="5" customWidth="1"/>
    <col min="6" max="6" width="16.69921875" style="16" customWidth="1"/>
    <col min="7" max="7" width="16.19921875" style="7" customWidth="1"/>
    <col min="8" max="8" width="10.19921875" style="5" customWidth="1"/>
    <col min="9" max="9" width="9" style="5"/>
    <col min="10" max="10" width="15.59765625" style="5" bestFit="1" customWidth="1"/>
    <col min="11" max="21" width="9" style="5"/>
    <col min="22" max="23" width="10" style="5" bestFit="1" customWidth="1"/>
    <col min="24" max="24" width="9" style="5"/>
    <col min="25" max="25" width="10.59765625" style="5" hidden="1" customWidth="1"/>
    <col min="26" max="16384" width="9" style="5"/>
  </cols>
  <sheetData>
    <row r="1" spans="1:25" ht="7.5" customHeight="1"/>
    <row r="2" spans="1:25" s="1" customFormat="1" ht="27" customHeight="1">
      <c r="A2" s="58" t="s">
        <v>11</v>
      </c>
      <c r="B2" s="58"/>
      <c r="C2" s="58"/>
      <c r="D2" s="58"/>
      <c r="E2" s="58"/>
      <c r="F2" s="58"/>
      <c r="G2" s="58"/>
    </row>
    <row r="3" spans="1:25" ht="18" thickBot="1">
      <c r="A3" s="67" t="s">
        <v>53</v>
      </c>
      <c r="B3" s="67"/>
      <c r="C3" s="67"/>
      <c r="D3" s="2"/>
      <c r="E3" s="2"/>
      <c r="F3" s="3"/>
      <c r="G3" s="4" t="s">
        <v>12</v>
      </c>
    </row>
    <row r="4" spans="1:25" ht="23.1" customHeight="1">
      <c r="A4" s="61" t="s">
        <v>44</v>
      </c>
      <c r="B4" s="62"/>
      <c r="C4" s="63"/>
      <c r="D4" s="25" t="s">
        <v>54</v>
      </c>
      <c r="E4" s="25" t="s">
        <v>55</v>
      </c>
      <c r="F4" s="25" t="s">
        <v>13</v>
      </c>
      <c r="G4" s="59" t="s">
        <v>14</v>
      </c>
    </row>
    <row r="5" spans="1:25" ht="23.1" customHeight="1">
      <c r="A5" s="64"/>
      <c r="B5" s="65"/>
      <c r="C5" s="66"/>
      <c r="D5" s="26" t="s">
        <v>0</v>
      </c>
      <c r="E5" s="26" t="s">
        <v>0</v>
      </c>
      <c r="F5" s="27" t="s">
        <v>15</v>
      </c>
      <c r="G5" s="60"/>
      <c r="Y5" s="19" t="s">
        <v>28</v>
      </c>
    </row>
    <row r="6" spans="1:25" ht="23.1" customHeight="1">
      <c r="A6" s="39" t="s">
        <v>42</v>
      </c>
      <c r="B6" s="40"/>
      <c r="C6" s="40"/>
      <c r="D6" s="28">
        <v>22.5593</v>
      </c>
      <c r="E6" s="28">
        <v>22.5593</v>
      </c>
      <c r="F6" s="37">
        <f>E6-D6</f>
        <v>0</v>
      </c>
      <c r="G6" s="32"/>
      <c r="H6" s="6"/>
      <c r="Y6"/>
    </row>
    <row r="7" spans="1:25" ht="23.1" customHeight="1">
      <c r="A7" s="39" t="s">
        <v>1</v>
      </c>
      <c r="B7" s="40"/>
      <c r="C7" s="40"/>
      <c r="D7" s="28">
        <v>22.5258</v>
      </c>
      <c r="E7" s="28">
        <v>22.5258</v>
      </c>
      <c r="F7" s="37">
        <f t="shared" ref="F7:F39" si="0">E7-D7</f>
        <v>0</v>
      </c>
      <c r="G7" s="33"/>
      <c r="H7" s="6"/>
      <c r="V7" s="21"/>
      <c r="Y7" s="19" t="s">
        <v>31</v>
      </c>
    </row>
    <row r="8" spans="1:25" ht="23.1" customHeight="1">
      <c r="A8" s="39" t="s">
        <v>2</v>
      </c>
      <c r="B8" s="40"/>
      <c r="C8" s="40"/>
      <c r="D8" s="28">
        <v>23.363300000000002</v>
      </c>
      <c r="E8" s="28">
        <v>24.369599999999998</v>
      </c>
      <c r="F8" s="37">
        <f t="shared" si="0"/>
        <v>1.006299999999996</v>
      </c>
      <c r="G8" s="33"/>
      <c r="H8" s="6"/>
      <c r="J8" s="23"/>
      <c r="V8" s="22"/>
      <c r="W8" s="6"/>
      <c r="Y8" s="19" t="s">
        <v>29</v>
      </c>
    </row>
    <row r="9" spans="1:25" ht="23.1" customHeight="1">
      <c r="A9" s="39" t="s">
        <v>16</v>
      </c>
      <c r="B9" s="40"/>
      <c r="C9" s="40"/>
      <c r="D9" s="28">
        <v>22.4177</v>
      </c>
      <c r="E9" s="28">
        <v>22.4177</v>
      </c>
      <c r="F9" s="37">
        <f t="shared" si="0"/>
        <v>0</v>
      </c>
      <c r="G9" s="34" t="s">
        <v>17</v>
      </c>
      <c r="H9" s="6"/>
      <c r="Y9" s="20" t="s">
        <v>30</v>
      </c>
    </row>
    <row r="10" spans="1:25" ht="23.1" customHeight="1">
      <c r="A10" s="39" t="s">
        <v>37</v>
      </c>
      <c r="B10" s="40"/>
      <c r="C10" s="40"/>
      <c r="D10" s="28">
        <v>22.019199999999998</v>
      </c>
      <c r="E10" s="28">
        <v>22.019199999999998</v>
      </c>
      <c r="F10" s="37">
        <f t="shared" si="0"/>
        <v>0</v>
      </c>
      <c r="G10" s="33"/>
      <c r="H10" s="6"/>
      <c r="Y10" s="19" t="s">
        <v>26</v>
      </c>
    </row>
    <row r="11" spans="1:25" ht="23.1" customHeight="1">
      <c r="A11" s="39" t="s">
        <v>38</v>
      </c>
      <c r="B11" s="40"/>
      <c r="C11" s="40"/>
      <c r="D11" s="28">
        <v>21.007300000000001</v>
      </c>
      <c r="E11" s="28">
        <v>21.007300000000001</v>
      </c>
      <c r="F11" s="37">
        <f t="shared" si="0"/>
        <v>0</v>
      </c>
      <c r="G11" s="33"/>
      <c r="H11" s="6"/>
      <c r="Y11"/>
    </row>
    <row r="12" spans="1:25" ht="23.1" customHeight="1">
      <c r="A12" s="39" t="s">
        <v>50</v>
      </c>
      <c r="B12" s="40"/>
      <c r="C12" s="36" t="s">
        <v>18</v>
      </c>
      <c r="D12" s="28">
        <v>22.878399999999999</v>
      </c>
      <c r="E12" s="28">
        <v>23.884700000000002</v>
      </c>
      <c r="F12" s="37">
        <f t="shared" si="0"/>
        <v>1.0063000000000031</v>
      </c>
      <c r="G12" s="29"/>
      <c r="H12" s="6"/>
      <c r="V12" s="22"/>
      <c r="Y12"/>
    </row>
    <row r="13" spans="1:25" ht="23.1" customHeight="1">
      <c r="A13" s="39"/>
      <c r="B13" s="40"/>
      <c r="C13" s="36" t="s">
        <v>10</v>
      </c>
      <c r="D13" s="28">
        <v>13.7996</v>
      </c>
      <c r="E13" s="28">
        <v>14.554300000000001</v>
      </c>
      <c r="F13" s="37">
        <f t="shared" si="0"/>
        <v>0.75470000000000148</v>
      </c>
      <c r="G13" s="34"/>
      <c r="H13" s="6"/>
      <c r="M13" s="24"/>
      <c r="V13" s="22"/>
      <c r="Y13"/>
    </row>
    <row r="14" spans="1:25" ht="23.1" customHeight="1">
      <c r="A14" s="39"/>
      <c r="B14" s="40"/>
      <c r="C14" s="36" t="s">
        <v>19</v>
      </c>
      <c r="D14" s="28">
        <v>21.741199999999999</v>
      </c>
      <c r="E14" s="28">
        <v>22.747500000000002</v>
      </c>
      <c r="F14" s="37">
        <f t="shared" si="0"/>
        <v>1.0063000000000031</v>
      </c>
      <c r="G14" s="34"/>
      <c r="H14" s="6"/>
      <c r="V14" s="22"/>
      <c r="W14" s="6"/>
      <c r="Y14" s="19" t="s">
        <v>27</v>
      </c>
    </row>
    <row r="15" spans="1:25" ht="23.1" customHeight="1">
      <c r="A15" s="39" t="s">
        <v>3</v>
      </c>
      <c r="B15" s="40"/>
      <c r="C15" s="40"/>
      <c r="D15" s="28">
        <v>20.566899999999997</v>
      </c>
      <c r="E15" s="28">
        <v>21.5732</v>
      </c>
      <c r="F15" s="37">
        <f t="shared" si="0"/>
        <v>1.0063000000000031</v>
      </c>
      <c r="G15" s="34"/>
      <c r="H15" s="6"/>
      <c r="V15" s="22"/>
    </row>
    <row r="16" spans="1:25" ht="23.1" customHeight="1">
      <c r="A16" s="39" t="s">
        <v>32</v>
      </c>
      <c r="B16" s="40"/>
      <c r="C16" s="40"/>
      <c r="D16" s="28">
        <v>19.954900000000002</v>
      </c>
      <c r="E16" s="28">
        <v>20.965800000000002</v>
      </c>
      <c r="F16" s="37">
        <f t="shared" si="0"/>
        <v>1.0108999999999995</v>
      </c>
      <c r="G16" s="34"/>
      <c r="H16" s="6"/>
      <c r="V16" s="22"/>
    </row>
    <row r="17" spans="1:22" ht="23.1" customHeight="1">
      <c r="A17" s="41" t="s">
        <v>41</v>
      </c>
      <c r="B17" s="42"/>
      <c r="C17" s="42"/>
      <c r="D17" s="28">
        <v>20.566899999999997</v>
      </c>
      <c r="E17" s="28">
        <v>21.5732</v>
      </c>
      <c r="F17" s="37">
        <f t="shared" si="0"/>
        <v>1.0063000000000031</v>
      </c>
      <c r="G17" s="34"/>
      <c r="H17" s="6"/>
      <c r="V17" s="22"/>
    </row>
    <row r="18" spans="1:22" ht="23.1" customHeight="1">
      <c r="A18" s="39" t="s">
        <v>43</v>
      </c>
      <c r="B18" s="40"/>
      <c r="C18" s="36" t="s">
        <v>34</v>
      </c>
      <c r="D18" s="28">
        <v>23.596</v>
      </c>
      <c r="E18" s="28">
        <v>24.6023</v>
      </c>
      <c r="F18" s="37">
        <f t="shared" si="0"/>
        <v>1.0062999999999995</v>
      </c>
      <c r="G18" s="34"/>
      <c r="H18" s="6"/>
      <c r="J18" s="6"/>
      <c r="V18" s="22"/>
    </row>
    <row r="19" spans="1:22" ht="23.1" customHeight="1">
      <c r="A19" s="39"/>
      <c r="B19" s="40"/>
      <c r="C19" s="36" t="s">
        <v>4</v>
      </c>
      <c r="D19" s="28">
        <v>24.0154</v>
      </c>
      <c r="E19" s="28">
        <v>25.021699999999999</v>
      </c>
      <c r="F19" s="37">
        <f t="shared" si="0"/>
        <v>1.0062999999999995</v>
      </c>
      <c r="G19" s="34"/>
      <c r="H19" s="6"/>
      <c r="V19" s="22"/>
    </row>
    <row r="20" spans="1:22" ht="23.1" customHeight="1">
      <c r="A20" s="39"/>
      <c r="B20" s="40"/>
      <c r="C20" s="36" t="s">
        <v>5</v>
      </c>
      <c r="D20" s="28">
        <v>23.6892</v>
      </c>
      <c r="E20" s="28">
        <v>24.695499999999999</v>
      </c>
      <c r="F20" s="37">
        <f t="shared" si="0"/>
        <v>1.0062999999999995</v>
      </c>
      <c r="G20" s="34"/>
      <c r="H20" s="6"/>
      <c r="V20" s="22"/>
    </row>
    <row r="21" spans="1:22" ht="23.1" customHeight="1">
      <c r="A21" s="39"/>
      <c r="B21" s="40"/>
      <c r="C21" s="36" t="s">
        <v>6</v>
      </c>
      <c r="D21" s="28">
        <v>23.456199999999999</v>
      </c>
      <c r="E21" s="28">
        <v>24.462499999999999</v>
      </c>
      <c r="F21" s="37">
        <f t="shared" si="0"/>
        <v>1.0062999999999995</v>
      </c>
      <c r="G21" s="34"/>
      <c r="H21" s="6"/>
      <c r="V21" s="22"/>
    </row>
    <row r="22" spans="1:22" ht="23.1" customHeight="1">
      <c r="A22" s="39"/>
      <c r="B22" s="40"/>
      <c r="C22" s="36" t="s">
        <v>35</v>
      </c>
      <c r="D22" s="28">
        <v>19.715900000000001</v>
      </c>
      <c r="E22" s="28">
        <v>20.722200000000001</v>
      </c>
      <c r="F22" s="37">
        <f t="shared" si="0"/>
        <v>1.0062999999999995</v>
      </c>
      <c r="G22" s="34"/>
      <c r="H22" s="6"/>
      <c r="V22" s="22"/>
    </row>
    <row r="23" spans="1:22" ht="23.1" customHeight="1">
      <c r="A23" s="39"/>
      <c r="B23" s="40"/>
      <c r="C23" s="36" t="s">
        <v>36</v>
      </c>
      <c r="D23" s="28">
        <v>15.8787</v>
      </c>
      <c r="E23" s="28">
        <v>16.6874</v>
      </c>
      <c r="F23" s="37">
        <f t="shared" si="0"/>
        <v>0.80869999999999997</v>
      </c>
      <c r="G23" s="34"/>
      <c r="H23" s="6"/>
      <c r="V23" s="22"/>
    </row>
    <row r="24" spans="1:22" ht="23.1" customHeight="1">
      <c r="A24" s="41" t="s">
        <v>39</v>
      </c>
      <c r="B24" s="42"/>
      <c r="C24" s="42"/>
      <c r="D24" s="28">
        <v>19.1083</v>
      </c>
      <c r="E24" s="28">
        <v>20.121000000000002</v>
      </c>
      <c r="F24" s="37">
        <f t="shared" si="0"/>
        <v>1.0127000000000024</v>
      </c>
      <c r="G24" s="34"/>
      <c r="H24" s="6"/>
      <c r="V24" s="22"/>
    </row>
    <row r="25" spans="1:22" ht="23.1" customHeight="1">
      <c r="A25" s="41" t="s">
        <v>40</v>
      </c>
      <c r="B25" s="42"/>
      <c r="C25" s="42"/>
      <c r="D25" s="28">
        <v>19.1083</v>
      </c>
      <c r="E25" s="28">
        <v>20.121000000000002</v>
      </c>
      <c r="F25" s="37">
        <f t="shared" si="0"/>
        <v>1.0127000000000024</v>
      </c>
      <c r="G25" s="34"/>
      <c r="H25" s="6"/>
      <c r="V25" s="22"/>
    </row>
    <row r="26" spans="1:22" ht="23.1" customHeight="1">
      <c r="A26" s="41" t="s">
        <v>45</v>
      </c>
      <c r="B26" s="42"/>
      <c r="C26" s="42"/>
      <c r="D26" s="28">
        <v>19.1083</v>
      </c>
      <c r="E26" s="28">
        <v>20.121000000000002</v>
      </c>
      <c r="F26" s="37">
        <f t="shared" si="0"/>
        <v>1.0127000000000024</v>
      </c>
      <c r="G26" s="33"/>
      <c r="H26" s="6"/>
      <c r="V26" s="22"/>
    </row>
    <row r="27" spans="1:22" ht="27" customHeight="1">
      <c r="A27" s="41" t="s">
        <v>46</v>
      </c>
      <c r="B27" s="42"/>
      <c r="C27" s="42"/>
      <c r="D27" s="28">
        <v>21.9815</v>
      </c>
      <c r="E27" s="28">
        <v>22.9878</v>
      </c>
      <c r="F27" s="37">
        <f t="shared" si="0"/>
        <v>1.0062999999999995</v>
      </c>
      <c r="G27" s="30"/>
      <c r="H27" s="6"/>
      <c r="V27" s="22"/>
    </row>
    <row r="28" spans="1:22" ht="27" customHeight="1">
      <c r="A28" s="41" t="s">
        <v>47</v>
      </c>
      <c r="B28" s="42"/>
      <c r="C28" s="42"/>
      <c r="D28" s="28">
        <v>22.2332</v>
      </c>
      <c r="E28" s="28">
        <v>23.2395</v>
      </c>
      <c r="F28" s="37">
        <f t="shared" si="0"/>
        <v>1.0062999999999995</v>
      </c>
      <c r="G28" s="30"/>
      <c r="H28" s="6"/>
      <c r="V28" s="22"/>
    </row>
    <row r="29" spans="1:22" ht="27" customHeight="1">
      <c r="A29" s="41" t="s">
        <v>48</v>
      </c>
      <c r="B29" s="42"/>
      <c r="C29" s="42"/>
      <c r="D29" s="28">
        <v>22.274100000000001</v>
      </c>
      <c r="E29" s="28">
        <v>22.274100000000001</v>
      </c>
      <c r="F29" s="37">
        <f t="shared" si="0"/>
        <v>0</v>
      </c>
      <c r="G29" s="30"/>
      <c r="H29" s="6"/>
      <c r="V29" s="22"/>
    </row>
    <row r="30" spans="1:22" ht="27" customHeight="1">
      <c r="A30" s="41" t="s">
        <v>49</v>
      </c>
      <c r="B30" s="42"/>
      <c r="C30" s="42"/>
      <c r="D30" s="28">
        <v>21.9815</v>
      </c>
      <c r="E30" s="28">
        <v>22.9878</v>
      </c>
      <c r="F30" s="37">
        <f t="shared" si="0"/>
        <v>1.0062999999999995</v>
      </c>
      <c r="G30" s="30"/>
      <c r="H30" s="6"/>
      <c r="V30" s="22"/>
    </row>
    <row r="31" spans="1:22" ht="24.9" customHeight="1">
      <c r="A31" s="48" t="s">
        <v>20</v>
      </c>
      <c r="B31" s="49"/>
      <c r="C31" s="50"/>
      <c r="D31" s="28">
        <v>17.382100000000001</v>
      </c>
      <c r="E31" s="28">
        <v>18.3948</v>
      </c>
      <c r="F31" s="37">
        <f t="shared" si="0"/>
        <v>1.0126999999999988</v>
      </c>
      <c r="G31" s="35"/>
      <c r="H31" s="6"/>
      <c r="V31" s="22"/>
    </row>
    <row r="32" spans="1:22" ht="23.1" customHeight="1">
      <c r="A32" s="55" t="s">
        <v>21</v>
      </c>
      <c r="B32" s="47" t="s">
        <v>7</v>
      </c>
      <c r="C32" s="47"/>
      <c r="D32" s="28">
        <v>21.791499999999999</v>
      </c>
      <c r="E32" s="28">
        <v>21.791499999999999</v>
      </c>
      <c r="F32" s="37">
        <f t="shared" si="0"/>
        <v>0</v>
      </c>
      <c r="G32" s="43" t="s">
        <v>52</v>
      </c>
      <c r="H32" s="6"/>
      <c r="V32" s="22"/>
    </row>
    <row r="33" spans="1:22" ht="23.1" customHeight="1">
      <c r="A33" s="56"/>
      <c r="B33" s="47" t="s">
        <v>8</v>
      </c>
      <c r="C33" s="47"/>
      <c r="D33" s="28">
        <v>21.757999999999999</v>
      </c>
      <c r="E33" s="28">
        <v>21.757999999999999</v>
      </c>
      <c r="F33" s="37">
        <f t="shared" si="0"/>
        <v>0</v>
      </c>
      <c r="G33" s="44"/>
      <c r="H33" s="6"/>
      <c r="V33" s="22"/>
    </row>
    <row r="34" spans="1:22" ht="23.1" customHeight="1">
      <c r="A34" s="56"/>
      <c r="B34" s="47" t="s">
        <v>9</v>
      </c>
      <c r="C34" s="47"/>
      <c r="D34" s="28">
        <v>22.595500000000001</v>
      </c>
      <c r="E34" s="28">
        <v>23.601799999999997</v>
      </c>
      <c r="F34" s="37">
        <f t="shared" si="0"/>
        <v>1.006299999999996</v>
      </c>
      <c r="G34" s="44"/>
      <c r="H34" s="6"/>
      <c r="V34" s="22"/>
    </row>
    <row r="35" spans="1:22" ht="23.1" customHeight="1">
      <c r="A35" s="56"/>
      <c r="B35" s="53" t="s">
        <v>22</v>
      </c>
      <c r="C35" s="54"/>
      <c r="D35" s="28">
        <v>21.251399999999997</v>
      </c>
      <c r="E35" s="28">
        <v>21.251399999999997</v>
      </c>
      <c r="F35" s="37">
        <f t="shared" si="0"/>
        <v>0</v>
      </c>
      <c r="G35" s="45"/>
      <c r="H35" s="6"/>
      <c r="V35" s="22"/>
    </row>
    <row r="36" spans="1:22" ht="23.1" customHeight="1">
      <c r="A36" s="56"/>
      <c r="B36" s="51" t="s">
        <v>51</v>
      </c>
      <c r="C36" s="36" t="s">
        <v>23</v>
      </c>
      <c r="D36" s="28">
        <v>22.110599999999998</v>
      </c>
      <c r="E36" s="28">
        <v>23.116900000000001</v>
      </c>
      <c r="F36" s="37">
        <f t="shared" si="0"/>
        <v>1.0063000000000031</v>
      </c>
      <c r="G36" s="45"/>
      <c r="H36" s="6"/>
      <c r="V36" s="22"/>
    </row>
    <row r="37" spans="1:22" ht="23.1" customHeight="1">
      <c r="A37" s="56"/>
      <c r="B37" s="47"/>
      <c r="C37" s="36" t="s">
        <v>24</v>
      </c>
      <c r="D37" s="28">
        <v>13.0318</v>
      </c>
      <c r="E37" s="28">
        <v>13.786500000000002</v>
      </c>
      <c r="F37" s="37">
        <f t="shared" si="0"/>
        <v>0.75470000000000148</v>
      </c>
      <c r="G37" s="45"/>
      <c r="H37" s="6"/>
      <c r="V37" s="22"/>
    </row>
    <row r="38" spans="1:22" ht="23.1" customHeight="1">
      <c r="A38" s="56"/>
      <c r="B38" s="47"/>
      <c r="C38" s="36" t="s">
        <v>19</v>
      </c>
      <c r="D38" s="28">
        <v>20.973399999999998</v>
      </c>
      <c r="E38" s="28">
        <v>21.979700000000001</v>
      </c>
      <c r="F38" s="37">
        <f t="shared" si="0"/>
        <v>1.0063000000000031</v>
      </c>
      <c r="G38" s="45"/>
      <c r="H38" s="6"/>
      <c r="V38" s="22"/>
    </row>
    <row r="39" spans="1:22" ht="23.1" customHeight="1" thickBot="1">
      <c r="A39" s="57"/>
      <c r="B39" s="52" t="s">
        <v>25</v>
      </c>
      <c r="C39" s="52"/>
      <c r="D39" s="31">
        <v>22.828199999999999</v>
      </c>
      <c r="E39" s="31">
        <v>23.834499999999998</v>
      </c>
      <c r="F39" s="38">
        <f t="shared" si="0"/>
        <v>1.0062999999999995</v>
      </c>
      <c r="G39" s="46"/>
      <c r="H39" s="6"/>
      <c r="V39" s="22"/>
    </row>
    <row r="40" spans="1:22" ht="24.75" customHeight="1">
      <c r="A40" s="11" t="s">
        <v>33</v>
      </c>
      <c r="C40" s="8"/>
      <c r="D40" s="8"/>
      <c r="E40" s="8"/>
      <c r="F40" s="9"/>
      <c r="G40" s="10"/>
    </row>
    <row r="41" spans="1:22" ht="15.6">
      <c r="A41" s="11"/>
      <c r="C41" s="8"/>
      <c r="D41" s="12"/>
      <c r="E41" s="8"/>
      <c r="F41" s="9"/>
      <c r="G41" s="13"/>
    </row>
    <row r="42" spans="1:22">
      <c r="D42" s="15"/>
      <c r="E42" s="15"/>
    </row>
    <row r="43" spans="1:22" ht="17.399999999999999">
      <c r="D43" s="17"/>
      <c r="E43" s="17"/>
      <c r="G43" s="18"/>
    </row>
  </sheetData>
  <mergeCells count="31">
    <mergeCell ref="A2:G2"/>
    <mergeCell ref="G4:G5"/>
    <mergeCell ref="A4:C5"/>
    <mergeCell ref="A6:C6"/>
    <mergeCell ref="A7:C7"/>
    <mergeCell ref="A3:C3"/>
    <mergeCell ref="A8:C8"/>
    <mergeCell ref="A9:C9"/>
    <mergeCell ref="A10:C10"/>
    <mergeCell ref="A11:C11"/>
    <mergeCell ref="A12:B14"/>
    <mergeCell ref="A25:C25"/>
    <mergeCell ref="A26:C26"/>
    <mergeCell ref="G32:G39"/>
    <mergeCell ref="B33:C33"/>
    <mergeCell ref="A30:C30"/>
    <mergeCell ref="A31:C31"/>
    <mergeCell ref="A27:C27"/>
    <mergeCell ref="A28:C28"/>
    <mergeCell ref="A29:C29"/>
    <mergeCell ref="B34:C34"/>
    <mergeCell ref="B36:B38"/>
    <mergeCell ref="B39:C39"/>
    <mergeCell ref="B35:C35"/>
    <mergeCell ref="A32:A39"/>
    <mergeCell ref="B32:C32"/>
    <mergeCell ref="A15:C15"/>
    <mergeCell ref="A16:C16"/>
    <mergeCell ref="A17:C17"/>
    <mergeCell ref="A18:B23"/>
    <mergeCell ref="A24:C24"/>
  </mergeCells>
  <phoneticPr fontId="2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경기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Samchully</dc:creator>
  <cp:lastModifiedBy>정성태</cp:lastModifiedBy>
  <cp:lastPrinted>2025-03-28T07:17:43Z</cp:lastPrinted>
  <dcterms:created xsi:type="dcterms:W3CDTF">2020-06-30T08:46:18Z</dcterms:created>
  <dcterms:modified xsi:type="dcterms:W3CDTF">2025-12-10T08:00:29Z</dcterms:modified>
</cp:coreProperties>
</file>