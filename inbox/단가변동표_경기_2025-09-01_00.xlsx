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김광용\2025년\요금단가 작성 및 등록\4.홈페이지 공지용\"/>
    </mc:Choice>
  </mc:AlternateContent>
  <xr:revisionPtr revIDLastSave="0" documentId="13_ncr:1_{4497D8AE-E941-4DEA-83AA-F9F42E9BED61}" xr6:coauthVersionLast="36" xr6:coauthVersionMax="36" xr10:uidLastSave="{00000000-0000-0000-0000-000000000000}"/>
  <bookViews>
    <workbookView xWindow="0" yWindow="0" windowWidth="28800" windowHeight="11640" xr2:uid="{924103F9-D8CD-4058-9C8A-AD0C6D2C8A32}"/>
  </bookViews>
  <sheets>
    <sheet name="경기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9" i="1" l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</calcChain>
</file>

<file path=xl/sharedStrings.xml><?xml version="1.0" encoding="utf-8"?>
<sst xmlns="http://schemas.openxmlformats.org/spreadsheetml/2006/main" count="58" uniqueCount="54">
  <si>
    <t>도시가스 요금 단가표(경기도)</t>
    <phoneticPr fontId="6" type="noConversion"/>
  </si>
  <si>
    <t>(단위:원/MJ,VAT별도)</t>
    <phoneticPr fontId="6" type="noConversion"/>
  </si>
  <si>
    <t>용도 구분</t>
    <phoneticPr fontId="6" type="noConversion"/>
  </si>
  <si>
    <t>판매단가 증감</t>
    <phoneticPr fontId="6" type="noConversion"/>
  </si>
  <si>
    <t>비고</t>
    <phoneticPr fontId="6" type="noConversion"/>
  </si>
  <si>
    <t>판매단가</t>
  </si>
  <si>
    <t>[B- A]</t>
    <phoneticPr fontId="6" type="noConversion"/>
  </si>
  <si>
    <r>
      <t xml:space="preserve">1. 요금 단가 </t>
    </r>
    <r>
      <rPr>
        <b/>
        <sz val="12"/>
        <color theme="1"/>
        <rFont val="Malgun Gothic"/>
        <family val="3"/>
        <charset val="129"/>
      </rPr>
      <t>변동 안내 ('21. 2/1 기준) </t>
    </r>
    <phoneticPr fontId="4" type="noConversion"/>
  </si>
  <si>
    <t>취 사 용</t>
    <phoneticPr fontId="4" type="noConversion"/>
  </si>
  <si>
    <t>주택난방</t>
  </si>
  <si>
    <r>
      <t>   ○  도매 단가  </t>
    </r>
    <r>
      <rPr>
        <b/>
        <sz val="8"/>
        <color rgb="FF2E2E2E"/>
        <rFont val="Malgun Gothic"/>
        <family val="3"/>
        <charset val="129"/>
      </rPr>
      <t>(</t>
    </r>
    <r>
      <rPr>
        <sz val="8"/>
        <color rgb="FF2E2E2E"/>
        <rFont val="Malgun Gothic"/>
        <family val="3"/>
        <charset val="129"/>
      </rPr>
      <t>기준 평균열량:  42.553MJ/N㎥)</t>
    </r>
    <r>
      <rPr>
        <b/>
        <sz val="12"/>
        <color rgb="FF2E2E2E"/>
        <rFont val="Malgun Gothic"/>
        <family val="3"/>
        <charset val="129"/>
      </rPr>
      <t>        평균 6.5% 증가</t>
    </r>
    <phoneticPr fontId="4" type="noConversion"/>
  </si>
  <si>
    <t>업무난방</t>
  </si>
  <si>
    <r>
      <t>   </t>
    </r>
    <r>
      <rPr>
        <sz val="12"/>
        <color rgb="FF2E2E2E"/>
        <rFont val="Malgun Gothic"/>
        <family val="3"/>
        <charset val="129"/>
      </rPr>
      <t xml:space="preserve">     </t>
    </r>
    <r>
      <rPr>
        <b/>
        <sz val="12"/>
        <color rgb="FF2E2E2E"/>
        <rFont val="Malgun Gothic"/>
        <family val="3"/>
        <charset val="129"/>
      </rPr>
      <t>- 상업용 : +0</t>
    </r>
    <r>
      <rPr>
        <b/>
        <sz val="12"/>
        <color theme="1"/>
        <rFont val="Malgun Gothic"/>
        <family val="3"/>
        <charset val="129"/>
      </rPr>
      <t>.8095</t>
    </r>
    <r>
      <rPr>
        <b/>
        <sz val="12"/>
        <color rgb="FF2E2E2E"/>
        <rFont val="Malgun Gothic"/>
        <family val="3"/>
        <charset val="129"/>
      </rPr>
      <t>원/MJ</t>
    </r>
    <r>
      <rPr>
        <sz val="12"/>
        <color rgb="FF2E2E2E"/>
        <rFont val="Malgun Gothic"/>
        <family val="3"/>
        <charset val="129"/>
      </rPr>
      <t xml:space="preserve"> (+34.4467원/㎥), </t>
    </r>
    <phoneticPr fontId="4" type="noConversion"/>
  </si>
  <si>
    <t>업무난방(미군시설)</t>
    <phoneticPr fontId="6" type="noConversion"/>
  </si>
  <si>
    <t>협정단가</t>
    <phoneticPr fontId="6" type="noConversion"/>
  </si>
  <si>
    <r>
      <t>        </t>
    </r>
    <r>
      <rPr>
        <b/>
        <sz val="12"/>
        <color rgb="FF2E2E2E"/>
        <rFont val="Malgun Gothic"/>
        <family val="3"/>
        <charset val="129"/>
      </rPr>
      <t>- 도시가스발전용 : +0.8095원/MJ </t>
    </r>
    <r>
      <rPr>
        <sz val="12"/>
        <color rgb="FF2E2E2E"/>
        <rFont val="Malgun Gothic"/>
        <family val="3"/>
        <charset val="129"/>
      </rPr>
      <t xml:space="preserve">(+34.4467원/㎥), 상업용과 동일, </t>
    </r>
    <phoneticPr fontId="4" type="noConversion"/>
  </si>
  <si>
    <t>영 업 용 1</t>
    <phoneticPr fontId="4" type="noConversion"/>
  </si>
  <si>
    <r>
      <t>       ※ 도시가스 요금 원료비 연동제 시행에 따른 도매 원료비 용도별 차등 적용 </t>
    </r>
    <r>
      <rPr>
        <b/>
        <sz val="10"/>
        <color rgb="FF2E2E2E"/>
        <rFont val="Malgun Gothic"/>
        <family val="3"/>
        <charset val="129"/>
      </rPr>
      <t> </t>
    </r>
    <r>
      <rPr>
        <b/>
        <sz val="12"/>
        <color rgb="FF2E2E2E"/>
        <rFont val="Malgun Gothic"/>
        <family val="3"/>
        <charset val="129"/>
      </rPr>
      <t>   </t>
    </r>
  </si>
  <si>
    <t>영 업 용 2</t>
    <phoneticPr fontId="4" type="noConversion"/>
  </si>
  <si>
    <t>냉난방공조용</t>
    <phoneticPr fontId="4" type="noConversion"/>
  </si>
  <si>
    <t>동절기(1~3,12월)</t>
    <phoneticPr fontId="6" type="noConversion"/>
  </si>
  <si>
    <t>하절기(5~9월)</t>
    <phoneticPr fontId="6" type="noConversion"/>
  </si>
  <si>
    <t>기타월(4,10,11월)</t>
    <phoneticPr fontId="6" type="noConversion"/>
  </si>
  <si>
    <t># 첨부. 2021.1. 1. 기준 단가 변동표 1부. 끝.</t>
  </si>
  <si>
    <t>산 업 용</t>
  </si>
  <si>
    <t>수소제조용</t>
    <phoneticPr fontId="4" type="noConversion"/>
  </si>
  <si>
    <t>사회복지시설</t>
    <phoneticPr fontId="6" type="noConversion"/>
  </si>
  <si>
    <t>수송용</t>
    <phoneticPr fontId="4" type="noConversion"/>
  </si>
  <si>
    <t>직영충전소</t>
    <phoneticPr fontId="6" type="noConversion"/>
  </si>
  <si>
    <t xml:space="preserve"> - 최대부하</t>
  </si>
  <si>
    <t xml:space="preserve"> - 중간부하</t>
  </si>
  <si>
    <t xml:space="preserve"> - 경부하</t>
  </si>
  <si>
    <t>자영충전소</t>
    <phoneticPr fontId="6" type="noConversion"/>
  </si>
  <si>
    <t>차량충전 수소제조</t>
    <phoneticPr fontId="4" type="noConversion"/>
  </si>
  <si>
    <t>공동주택 열병합</t>
    <phoneticPr fontId="6" type="noConversion"/>
  </si>
  <si>
    <t>공동주택외 열병합</t>
    <phoneticPr fontId="6" type="noConversion"/>
  </si>
  <si>
    <r>
      <t xml:space="preserve">지역열병합 </t>
    </r>
    <r>
      <rPr>
        <sz val="11"/>
        <rFont val="맑은 고딕"/>
        <family val="3"/>
        <charset val="129"/>
      </rPr>
      <t>집단에너지 사업허가</t>
    </r>
    <phoneticPr fontId="6" type="noConversion"/>
  </si>
  <si>
    <r>
      <t xml:space="preserve">지역열병합(HOB) </t>
    </r>
    <r>
      <rPr>
        <sz val="11"/>
        <rFont val="맑은 고딕"/>
        <family val="3"/>
        <charset val="129"/>
      </rPr>
      <t>집단에너지 사업허가</t>
    </r>
    <phoneticPr fontId="6" type="noConversion"/>
  </si>
  <si>
    <r>
      <t xml:space="preserve">지역열병합(HOB) </t>
    </r>
    <r>
      <rPr>
        <sz val="11"/>
        <rFont val="맑은 고딕"/>
        <family val="3"/>
        <charset val="129"/>
      </rPr>
      <t>'03.1.1이후 신규(추가)분 한함</t>
    </r>
    <phoneticPr fontId="6" type="noConversion"/>
  </si>
  <si>
    <r>
      <t xml:space="preserve">공동주택 열병합 </t>
    </r>
    <r>
      <rPr>
        <sz val="11"/>
        <rFont val="맑은 고딕"/>
        <family val="3"/>
        <charset val="129"/>
      </rPr>
      <t>(열전용보일러)</t>
    </r>
    <phoneticPr fontId="6" type="noConversion"/>
  </si>
  <si>
    <r>
      <t xml:space="preserve">공동주택외 열병합 </t>
    </r>
    <r>
      <rPr>
        <sz val="11"/>
        <rFont val="맑은 고딕"/>
        <family val="3"/>
        <charset val="129"/>
      </rPr>
      <t>(열전용보일러)</t>
    </r>
    <phoneticPr fontId="6" type="noConversion"/>
  </si>
  <si>
    <t>연료전지용</t>
    <phoneticPr fontId="6" type="noConversion"/>
  </si>
  <si>
    <t>특별단가
(군사시설)</t>
    <phoneticPr fontId="6" type="noConversion"/>
  </si>
  <si>
    <t>취사용</t>
  </si>
  <si>
    <t>개별소비세
0.7678원/MJ
면제
('17.12.28.변동)</t>
    <phoneticPr fontId="6" type="noConversion"/>
  </si>
  <si>
    <t>난방용</t>
  </si>
  <si>
    <t>업무용</t>
  </si>
  <si>
    <t>영업용1</t>
    <phoneticPr fontId="6" type="noConversion"/>
  </si>
  <si>
    <t>냉난방
공조용</t>
    <phoneticPr fontId="6" type="noConversion"/>
  </si>
  <si>
    <t>수송용</t>
    <phoneticPr fontId="6" type="noConversion"/>
  </si>
  <si>
    <t>▷ 경기도 취사,난방세대 기본요금(1,250원) 적용</t>
    <phoneticPr fontId="6" type="noConversion"/>
  </si>
  <si>
    <t>A) 2025.08.01</t>
    <phoneticPr fontId="4" type="noConversion"/>
  </si>
  <si>
    <t>B) 2025.09.01</t>
    <phoneticPr fontId="6" type="noConversion"/>
  </si>
  <si>
    <t>(작성일:2025. 09. 01)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</si>
</sst>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76" formatCode="0.00_);[Red]\(0.00\)"/>
    <numFmt numFmtId="177" formatCode="0.00000_);[Red]\(0.00000\)"/>
    <numFmt numFmtId="178" formatCode="_-* #,##0.0000_-;\-* #,##0.0000_-;_-* &quot;-&quot;_-;_-@_-"/>
    <numFmt numFmtId="179" formatCode="_ * &quot;+&quot;#,##0.0000_ ;_ * &quot;▼&quot;#,##0.0000_ ;_ * &quot;-&quot;??_ ;_ @_ "/>
    <numFmt numFmtId="180" formatCode="_ * #,##0.00_ ;_ * &quot;▽&quot;#,##0.00_ ;_ * &quot;-&quot;??_ ;_ @_ "/>
    <numFmt numFmtId="181" formatCode="_-* #,##0.0000_-;\-* #,##0.0000_-;_-* &quot;-&quot;??_-;_-@_-"/>
    <numFmt numFmtId="182" formatCode="0.0%"/>
    <numFmt numFmtId="183" formatCode="_ * #,##0.00_ ;_ * \-#,##0.00_ ;_ * &quot;-&quot;_ ;_ @_ 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6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11"/>
      <name val="HY울릉도L"/>
      <family val="1"/>
      <charset val="129"/>
    </font>
    <font>
      <sz val="10"/>
      <name val="HY울릉도L"/>
      <family val="1"/>
      <charset val="129"/>
    </font>
    <font>
      <b/>
      <sz val="11"/>
      <name val="맑은 고딕"/>
      <family val="3"/>
      <charset val="129"/>
    </font>
    <font>
      <b/>
      <sz val="12"/>
      <color rgb="FF2E2E2E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11"/>
      <name val="맑은 고딕"/>
      <family val="3"/>
      <charset val="129"/>
    </font>
    <font>
      <b/>
      <sz val="8"/>
      <color rgb="FF2E2E2E"/>
      <name val="Malgun Gothic"/>
      <family val="3"/>
      <charset val="129"/>
    </font>
    <font>
      <sz val="8"/>
      <color rgb="FF2E2E2E"/>
      <name val="Malgun Gothic"/>
      <family val="3"/>
      <charset val="129"/>
    </font>
    <font>
      <sz val="12"/>
      <color rgb="FF2E2E2E"/>
      <name val="Malgun Gothic"/>
      <family val="3"/>
      <charset val="129"/>
    </font>
    <font>
      <b/>
      <sz val="10"/>
      <color rgb="FF2E2E2E"/>
      <name val="Malgun Gothic"/>
      <family val="3"/>
      <charset val="129"/>
    </font>
    <font>
      <sz val="11"/>
      <name val="맑은 고딕"/>
      <family val="3"/>
      <charset val="129"/>
      <scheme val="minor"/>
    </font>
    <font>
      <b/>
      <sz val="11"/>
      <name val="HY울릉도L"/>
      <family val="1"/>
      <charset val="129"/>
    </font>
    <font>
      <b/>
      <sz val="12"/>
      <name val="HY울릉도L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/>
  </cellStyleXfs>
  <cellXfs count="71">
    <xf numFmtId="0" fontId="0" fillId="0" borderId="0" xfId="0">
      <alignment vertical="center"/>
    </xf>
    <xf numFmtId="0" fontId="3" fillId="0" borderId="0" xfId="3" applyFont="1"/>
    <xf numFmtId="0" fontId="2" fillId="0" borderId="0" xfId="3"/>
    <xf numFmtId="176" fontId="2" fillId="0" borderId="0" xfId="3" applyNumberFormat="1" applyAlignment="1">
      <alignment horizontal="center"/>
    </xf>
    <xf numFmtId="176" fontId="2" fillId="0" borderId="0" xfId="3" applyNumberFormat="1"/>
    <xf numFmtId="0" fontId="2" fillId="0" borderId="0" xfId="3" applyAlignment="1">
      <alignment horizontal="left"/>
    </xf>
    <xf numFmtId="43" fontId="8" fillId="0" borderId="0" xfId="3" applyNumberFormat="1" applyFont="1" applyAlignment="1">
      <alignment vertical="center" shrinkToFit="1"/>
    </xf>
    <xf numFmtId="176" fontId="8" fillId="0" borderId="0" xfId="3" applyNumberFormat="1" applyFont="1" applyAlignment="1">
      <alignment horizontal="center" vertical="center" shrinkToFit="1"/>
    </xf>
    <xf numFmtId="0" fontId="9" fillId="0" borderId="0" xfId="3" applyFont="1" applyAlignment="1">
      <alignment horizontal="right"/>
    </xf>
    <xf numFmtId="177" fontId="10" fillId="2" borderId="5" xfId="3" applyNumberFormat="1" applyFont="1" applyFill="1" applyBorder="1" applyAlignment="1">
      <alignment horizontal="center" vertical="center" wrapText="1" shrinkToFit="1"/>
    </xf>
    <xf numFmtId="0" fontId="10" fillId="2" borderId="10" xfId="3" applyFont="1" applyFill="1" applyBorder="1" applyAlignment="1">
      <alignment horizontal="center" vertical="center" shrinkToFit="1"/>
    </xf>
    <xf numFmtId="14" fontId="10" fillId="2" borderId="10" xfId="3" quotePrefix="1" applyNumberFormat="1" applyFont="1" applyFill="1" applyBorder="1" applyAlignment="1">
      <alignment horizontal="center" vertical="center" shrinkToFit="1"/>
    </xf>
    <xf numFmtId="0" fontId="11" fillId="0" borderId="0" xfId="0" applyFont="1">
      <alignment vertical="center"/>
    </xf>
    <xf numFmtId="178" fontId="13" fillId="0" borderId="10" xfId="1" applyNumberFormat="1" applyFont="1" applyFill="1" applyBorder="1" applyAlignment="1">
      <alignment vertical="center" shrinkToFit="1"/>
    </xf>
    <xf numFmtId="179" fontId="13" fillId="0" borderId="10" xfId="1" applyNumberFormat="1" applyFont="1" applyFill="1" applyBorder="1" applyAlignment="1">
      <alignment horizontal="center" vertical="center" shrinkToFit="1"/>
    </xf>
    <xf numFmtId="180" fontId="13" fillId="0" borderId="11" xfId="3" quotePrefix="1" applyNumberFormat="1" applyFont="1" applyFill="1" applyBorder="1" applyAlignment="1">
      <alignment horizontal="center" vertical="center" wrapText="1" shrinkToFit="1"/>
    </xf>
    <xf numFmtId="181" fontId="2" fillId="0" borderId="0" xfId="3" applyNumberFormat="1"/>
    <xf numFmtId="180" fontId="13" fillId="0" borderId="11" xfId="3" quotePrefix="1" applyNumberFormat="1" applyFont="1" applyFill="1" applyBorder="1" applyAlignment="1">
      <alignment horizontal="center" vertical="center" shrinkToFit="1"/>
    </xf>
    <xf numFmtId="9" fontId="2" fillId="0" borderId="0" xfId="2" applyFont="1" applyAlignment="1"/>
    <xf numFmtId="182" fontId="2" fillId="0" borderId="0" xfId="2" applyNumberFormat="1" applyFont="1" applyAlignment="1"/>
    <xf numFmtId="41" fontId="2" fillId="0" borderId="0" xfId="1" applyFont="1" applyAlignment="1"/>
    <xf numFmtId="180" fontId="13" fillId="0" borderId="11" xfId="3" applyNumberFormat="1" applyFont="1" applyFill="1" applyBorder="1" applyAlignment="1">
      <alignment horizontal="center" vertical="center" shrinkToFit="1"/>
    </xf>
    <xf numFmtId="0" fontId="16" fillId="0" borderId="0" xfId="0" applyFont="1">
      <alignment vertical="center"/>
    </xf>
    <xf numFmtId="0" fontId="10" fillId="0" borderId="10" xfId="3" applyFont="1" applyFill="1" applyBorder="1" applyAlignment="1">
      <alignment horizontal="left" vertical="center" indent="1" shrinkToFit="1"/>
    </xf>
    <xf numFmtId="176" fontId="2" fillId="0" borderId="13" xfId="3" applyNumberFormat="1" applyFont="1" applyBorder="1"/>
    <xf numFmtId="0" fontId="18" fillId="0" borderId="0" xfId="3" applyFont="1"/>
    <xf numFmtId="180" fontId="13" fillId="0" borderId="11" xfId="3" applyNumberFormat="1" applyFont="1" applyFill="1" applyBorder="1" applyAlignment="1">
      <alignment vertical="center" shrinkToFit="1"/>
    </xf>
    <xf numFmtId="183" fontId="13" fillId="0" borderId="17" xfId="4" applyNumberFormat="1" applyFont="1" applyBorder="1" applyAlignment="1">
      <alignment horizontal="center" vertical="center" wrapText="1" shrinkToFit="1"/>
    </xf>
    <xf numFmtId="178" fontId="13" fillId="0" borderId="24" xfId="1" applyNumberFormat="1" applyFont="1" applyFill="1" applyBorder="1" applyAlignment="1">
      <alignment vertical="center" shrinkToFit="1"/>
    </xf>
    <xf numFmtId="179" fontId="13" fillId="0" borderId="24" xfId="1" applyNumberFormat="1" applyFont="1" applyFill="1" applyBorder="1" applyAlignment="1">
      <alignment horizontal="center" vertical="center" shrinkToFit="1"/>
    </xf>
    <xf numFmtId="0" fontId="19" fillId="0" borderId="0" xfId="3" applyFont="1" applyBorder="1" applyAlignment="1">
      <alignment horizontal="left" vertical="center"/>
    </xf>
    <xf numFmtId="0" fontId="2" fillId="0" borderId="0" xfId="3" applyFont="1"/>
    <xf numFmtId="0" fontId="19" fillId="0" borderId="0" xfId="3" applyFont="1" applyBorder="1" applyAlignment="1">
      <alignment horizontal="left" vertical="center" shrinkToFit="1"/>
    </xf>
    <xf numFmtId="176" fontId="19" fillId="0" borderId="0" xfId="3" applyNumberFormat="1" applyFont="1" applyBorder="1" applyAlignment="1">
      <alignment horizontal="center" vertical="center" shrinkToFit="1"/>
    </xf>
    <xf numFmtId="176" fontId="19" fillId="0" borderId="0" xfId="3" applyNumberFormat="1" applyFont="1" applyBorder="1" applyAlignment="1">
      <alignment horizontal="left" vertical="center" shrinkToFit="1"/>
    </xf>
    <xf numFmtId="0" fontId="20" fillId="0" borderId="0" xfId="3" applyFont="1" applyBorder="1" applyAlignment="1">
      <alignment horizontal="left" vertical="center" shrinkToFit="1"/>
    </xf>
    <xf numFmtId="178" fontId="20" fillId="0" borderId="0" xfId="3" applyNumberFormat="1" applyFont="1" applyBorder="1" applyAlignment="1">
      <alignment horizontal="left" vertical="center" shrinkToFit="1"/>
    </xf>
    <xf numFmtId="176" fontId="20" fillId="0" borderId="0" xfId="3" applyNumberFormat="1" applyFont="1" applyBorder="1" applyAlignment="1">
      <alignment horizontal="center" vertical="center" shrinkToFit="1"/>
    </xf>
    <xf numFmtId="182" fontId="20" fillId="0" borderId="0" xfId="2" applyNumberFormat="1" applyFont="1" applyBorder="1" applyAlignment="1">
      <alignment horizontal="left" vertical="center" shrinkToFit="1"/>
    </xf>
    <xf numFmtId="178" fontId="2" fillId="0" borderId="0" xfId="3" applyNumberFormat="1"/>
    <xf numFmtId="43" fontId="2" fillId="0" borderId="0" xfId="3" applyNumberFormat="1"/>
    <xf numFmtId="182" fontId="1" fillId="0" borderId="0" xfId="2" applyNumberFormat="1" applyAlignment="1"/>
    <xf numFmtId="183" fontId="13" fillId="0" borderId="17" xfId="4" applyNumberFormat="1" applyFont="1" applyBorder="1" applyAlignment="1">
      <alignment horizontal="center" vertical="center" wrapText="1" shrinkToFit="1"/>
    </xf>
    <xf numFmtId="183" fontId="13" fillId="0" borderId="20" xfId="4" applyNumberFormat="1" applyFont="1" applyBorder="1" applyAlignment="1">
      <alignment horizontal="center" vertical="center" shrinkToFit="1"/>
    </xf>
    <xf numFmtId="183" fontId="13" fillId="0" borderId="22" xfId="4" applyNumberFormat="1" applyFont="1" applyBorder="1" applyAlignment="1">
      <alignment horizontal="center" vertical="center" shrinkToFit="1"/>
    </xf>
    <xf numFmtId="183" fontId="13" fillId="0" borderId="25" xfId="4" applyNumberFormat="1" applyFont="1" applyBorder="1" applyAlignment="1">
      <alignment horizontal="center" vertical="center" shrinkToFit="1"/>
    </xf>
    <xf numFmtId="0" fontId="10" fillId="0" borderId="10" xfId="3" applyFont="1" applyFill="1" applyBorder="1" applyAlignment="1">
      <alignment horizontal="left" vertical="center" indent="1" shrinkToFit="1"/>
    </xf>
    <xf numFmtId="0" fontId="10" fillId="0" borderId="21" xfId="3" applyFont="1" applyFill="1" applyBorder="1" applyAlignment="1">
      <alignment horizontal="left" vertical="center" indent="1" shrinkToFit="1"/>
    </xf>
    <xf numFmtId="0" fontId="10" fillId="0" borderId="16" xfId="3" applyFont="1" applyFill="1" applyBorder="1" applyAlignment="1">
      <alignment horizontal="left" vertical="center" indent="1" shrinkToFit="1"/>
    </xf>
    <xf numFmtId="0" fontId="10" fillId="0" borderId="10" xfId="3" applyFont="1" applyFill="1" applyBorder="1" applyAlignment="1">
      <alignment horizontal="left" vertical="center" wrapText="1" indent="1" shrinkToFit="1"/>
    </xf>
    <xf numFmtId="0" fontId="10" fillId="0" borderId="24" xfId="3" applyFont="1" applyFill="1" applyBorder="1" applyAlignment="1">
      <alignment horizontal="left" vertical="center" indent="1" shrinkToFit="1"/>
    </xf>
    <xf numFmtId="0" fontId="10" fillId="0" borderId="18" xfId="3" applyFont="1" applyFill="1" applyBorder="1" applyAlignment="1">
      <alignment horizontal="center" vertical="center" wrapText="1" shrinkToFit="1"/>
    </xf>
    <xf numFmtId="0" fontId="10" fillId="0" borderId="19" xfId="3" applyFont="1" applyFill="1" applyBorder="1" applyAlignment="1">
      <alignment horizontal="center" vertical="center" wrapText="1" shrinkToFit="1"/>
    </xf>
    <xf numFmtId="0" fontId="10" fillId="0" borderId="23" xfId="3" applyFont="1" applyFill="1" applyBorder="1" applyAlignment="1">
      <alignment horizontal="center" vertical="center" wrapText="1" shrinkToFit="1"/>
    </xf>
    <xf numFmtId="0" fontId="10" fillId="0" borderId="12" xfId="3" applyFont="1" applyFill="1" applyBorder="1" applyAlignment="1">
      <alignment horizontal="left" vertical="center" indent="2" shrinkToFit="1"/>
    </xf>
    <xf numFmtId="0" fontId="10" fillId="0" borderId="10" xfId="3" applyFont="1" applyFill="1" applyBorder="1" applyAlignment="1">
      <alignment horizontal="left" vertical="center" indent="2" shrinkToFit="1"/>
    </xf>
    <xf numFmtId="0" fontId="10" fillId="0" borderId="12" xfId="3" applyFont="1" applyFill="1" applyBorder="1" applyAlignment="1">
      <alignment horizontal="left" vertical="center" wrapText="1" indent="2" shrinkToFit="1"/>
    </xf>
    <xf numFmtId="0" fontId="10" fillId="0" borderId="10" xfId="3" applyFont="1" applyFill="1" applyBorder="1" applyAlignment="1">
      <alignment horizontal="left" vertical="center" wrapText="1" indent="2" shrinkToFit="1"/>
    </xf>
    <xf numFmtId="0" fontId="10" fillId="0" borderId="14" xfId="3" applyFont="1" applyFill="1" applyBorder="1" applyAlignment="1">
      <alignment horizontal="left" vertical="center" wrapText="1" indent="2" shrinkToFit="1"/>
    </xf>
    <xf numFmtId="0" fontId="10" fillId="0" borderId="15" xfId="3" applyFont="1" applyFill="1" applyBorder="1" applyAlignment="1">
      <alignment horizontal="left" vertical="center" wrapText="1" indent="2" shrinkToFit="1"/>
    </xf>
    <xf numFmtId="0" fontId="10" fillId="0" borderId="16" xfId="3" applyFont="1" applyFill="1" applyBorder="1" applyAlignment="1">
      <alignment horizontal="left" vertical="center" wrapText="1" indent="2" shrinkToFit="1"/>
    </xf>
    <xf numFmtId="0" fontId="5" fillId="0" borderId="0" xfId="3" applyFont="1" applyAlignment="1">
      <alignment horizontal="center" vertical="center" shrinkToFit="1"/>
    </xf>
    <xf numFmtId="0" fontId="7" fillId="0" borderId="1" xfId="3" applyFont="1" applyBorder="1" applyAlignment="1">
      <alignment horizontal="left" vertical="center" shrinkToFit="1"/>
    </xf>
    <xf numFmtId="0" fontId="10" fillId="2" borderId="2" xfId="3" applyFont="1" applyFill="1" applyBorder="1" applyAlignment="1">
      <alignment horizontal="center" vertical="center" wrapText="1" shrinkToFit="1"/>
    </xf>
    <xf numFmtId="0" fontId="10" fillId="2" borderId="3" xfId="3" applyFont="1" applyFill="1" applyBorder="1" applyAlignment="1">
      <alignment horizontal="center" vertical="center" wrapText="1" shrinkToFit="1"/>
    </xf>
    <xf numFmtId="0" fontId="10" fillId="2" borderId="4" xfId="3" applyFont="1" applyFill="1" applyBorder="1" applyAlignment="1">
      <alignment horizontal="center" vertical="center" wrapText="1" shrinkToFit="1"/>
    </xf>
    <xf numFmtId="0" fontId="10" fillId="2" borderId="7" xfId="3" applyFont="1" applyFill="1" applyBorder="1" applyAlignment="1">
      <alignment horizontal="center" vertical="center" wrapText="1" shrinkToFit="1"/>
    </xf>
    <xf numFmtId="0" fontId="10" fillId="2" borderId="8" xfId="3" applyFont="1" applyFill="1" applyBorder="1" applyAlignment="1">
      <alignment horizontal="center" vertical="center" wrapText="1" shrinkToFit="1"/>
    </xf>
    <xf numFmtId="0" fontId="10" fillId="2" borderId="9" xfId="3" applyFont="1" applyFill="1" applyBorder="1" applyAlignment="1">
      <alignment horizontal="center" vertical="center" wrapText="1" shrinkToFit="1"/>
    </xf>
    <xf numFmtId="0" fontId="10" fillId="2" borderId="6" xfId="3" applyFont="1" applyFill="1" applyBorder="1" applyAlignment="1">
      <alignment horizontal="center" vertical="center" wrapText="1" shrinkToFit="1"/>
    </xf>
    <xf numFmtId="0" fontId="10" fillId="2" borderId="11" xfId="3" applyFont="1" applyFill="1" applyBorder="1" applyAlignment="1">
      <alignment horizontal="center" vertical="center" shrinkToFit="1"/>
    </xf>
  </cellXfs>
  <cellStyles count="5">
    <cellStyle name="백분율" xfId="2" builtinId="5"/>
    <cellStyle name="쉼표 [0]" xfId="1" builtinId="6"/>
    <cellStyle name="쉼표 [0]_인천요율변경(04.08.02)" xfId="4" xr:uid="{C0B2D14D-64E5-4B8C-A521-7F93DFACB3A8}"/>
    <cellStyle name="표준" xfId="0" builtinId="0"/>
    <cellStyle name="표준_인천요율변경(04.08.02)" xfId="3" xr:uid="{EE7ECACD-2027-47A0-BE19-C22E2805CF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D789B-C8E0-401D-944E-5445FE9AD041}">
  <dimension ref="B1:Z43"/>
  <sheetViews>
    <sheetView showGridLines="0" tabSelected="1" zoomScale="85" zoomScaleNormal="85" zoomScaleSheetLayoutView="70" workbookViewId="0">
      <selection activeCell="M11" sqref="M11"/>
    </sheetView>
  </sheetViews>
  <sheetFormatPr defaultColWidth="9" defaultRowHeight="13.5"/>
  <cols>
    <col min="1" max="1" width="5.75" style="2" customWidth="1"/>
    <col min="2" max="2" width="13" style="1" customWidth="1"/>
    <col min="3" max="3" width="10.625" style="2" customWidth="1"/>
    <col min="4" max="4" width="19.25" style="2" customWidth="1"/>
    <col min="5" max="6" width="14.875" style="2" customWidth="1"/>
    <col min="7" max="7" width="14.875" style="3" customWidth="1"/>
    <col min="8" max="8" width="14.125" style="4" customWidth="1"/>
    <col min="9" max="9" width="10.25" style="2" customWidth="1"/>
    <col min="10" max="10" width="9" style="2"/>
    <col min="11" max="11" width="15.625" style="2" bestFit="1" customWidth="1"/>
    <col min="12" max="22" width="9" style="2"/>
    <col min="23" max="24" width="10" style="2" bestFit="1" customWidth="1"/>
    <col min="25" max="25" width="9" style="2"/>
    <col min="26" max="26" width="10.625" style="2" hidden="1" customWidth="1"/>
    <col min="27" max="16384" width="9" style="2"/>
  </cols>
  <sheetData>
    <row r="1" spans="2:26" ht="7.5" customHeight="1"/>
    <row r="2" spans="2:26" s="5" customFormat="1" ht="27" customHeight="1">
      <c r="B2" s="61" t="s">
        <v>0</v>
      </c>
      <c r="C2" s="61"/>
      <c r="D2" s="61"/>
      <c r="E2" s="61"/>
      <c r="F2" s="61"/>
      <c r="G2" s="61"/>
      <c r="H2" s="61"/>
    </row>
    <row r="3" spans="2:26" ht="17.25" thickBot="1">
      <c r="B3" s="62" t="s">
        <v>53</v>
      </c>
      <c r="C3" s="62"/>
      <c r="D3" s="62"/>
      <c r="E3" s="6"/>
      <c r="F3" s="6"/>
      <c r="G3" s="7"/>
      <c r="H3" s="8" t="s">
        <v>1</v>
      </c>
    </row>
    <row r="4" spans="2:26" ht="16.5">
      <c r="B4" s="63" t="s">
        <v>2</v>
      </c>
      <c r="C4" s="64"/>
      <c r="D4" s="65"/>
      <c r="E4" s="9" t="s">
        <v>51</v>
      </c>
      <c r="F4" s="9" t="s">
        <v>52</v>
      </c>
      <c r="G4" s="9" t="s">
        <v>3</v>
      </c>
      <c r="H4" s="69" t="s">
        <v>4</v>
      </c>
    </row>
    <row r="5" spans="2:26" ht="17.25">
      <c r="B5" s="66"/>
      <c r="C5" s="67"/>
      <c r="D5" s="68"/>
      <c r="E5" s="10" t="s">
        <v>5</v>
      </c>
      <c r="F5" s="10" t="s">
        <v>5</v>
      </c>
      <c r="G5" s="11" t="s">
        <v>6</v>
      </c>
      <c r="H5" s="70"/>
      <c r="Z5" s="12" t="s">
        <v>7</v>
      </c>
    </row>
    <row r="6" spans="2:26" ht="16.5">
      <c r="B6" s="54" t="s">
        <v>8</v>
      </c>
      <c r="C6" s="55"/>
      <c r="D6" s="55"/>
      <c r="E6" s="13">
        <v>22.622599999999998</v>
      </c>
      <c r="F6" s="13">
        <v>22.622599999999998</v>
      </c>
      <c r="G6" s="14">
        <f>F6-E6</f>
        <v>0</v>
      </c>
      <c r="H6" s="15"/>
      <c r="I6" s="16"/>
      <c r="Z6"/>
    </row>
    <row r="7" spans="2:26" ht="17.25">
      <c r="B7" s="54" t="s">
        <v>9</v>
      </c>
      <c r="C7" s="55"/>
      <c r="D7" s="55"/>
      <c r="E7" s="13">
        <v>22.622599999999998</v>
      </c>
      <c r="F7" s="13">
        <v>22.622599999999998</v>
      </c>
      <c r="G7" s="14">
        <f t="shared" ref="G7:G39" si="0">F7-E7</f>
        <v>0</v>
      </c>
      <c r="H7" s="17"/>
      <c r="I7" s="16"/>
      <c r="W7" s="18"/>
      <c r="Z7" s="12" t="s">
        <v>10</v>
      </c>
    </row>
    <row r="8" spans="2:26" ht="17.25">
      <c r="B8" s="54" t="s">
        <v>11</v>
      </c>
      <c r="C8" s="55"/>
      <c r="D8" s="55"/>
      <c r="E8" s="13">
        <v>21.395900000000001</v>
      </c>
      <c r="F8" s="13">
        <v>22.385400000000001</v>
      </c>
      <c r="G8" s="14">
        <f t="shared" si="0"/>
        <v>0.9894999999999996</v>
      </c>
      <c r="H8" s="17"/>
      <c r="I8" s="16"/>
      <c r="J8" s="19"/>
      <c r="K8" s="20"/>
      <c r="W8" s="19"/>
      <c r="X8" s="16"/>
      <c r="Z8" s="12" t="s">
        <v>12</v>
      </c>
    </row>
    <row r="9" spans="2:26" ht="17.25">
      <c r="B9" s="54" t="s">
        <v>13</v>
      </c>
      <c r="C9" s="55"/>
      <c r="D9" s="55"/>
      <c r="E9" s="13">
        <v>21.895800000000001</v>
      </c>
      <c r="F9" s="13">
        <v>21.895800000000001</v>
      </c>
      <c r="G9" s="14">
        <f t="shared" si="0"/>
        <v>0</v>
      </c>
      <c r="H9" s="21" t="s">
        <v>14</v>
      </c>
      <c r="I9" s="16"/>
      <c r="J9" s="19"/>
      <c r="Z9" s="22" t="s">
        <v>15</v>
      </c>
    </row>
    <row r="10" spans="2:26" ht="17.25">
      <c r="B10" s="54" t="s">
        <v>16</v>
      </c>
      <c r="C10" s="55"/>
      <c r="D10" s="55"/>
      <c r="E10" s="13">
        <v>22.116</v>
      </c>
      <c r="F10" s="13">
        <v>22.116</v>
      </c>
      <c r="G10" s="14">
        <f t="shared" si="0"/>
        <v>0</v>
      </c>
      <c r="H10" s="17"/>
      <c r="I10" s="16"/>
      <c r="J10" s="19"/>
      <c r="Z10" s="12" t="s">
        <v>17</v>
      </c>
    </row>
    <row r="11" spans="2:26" ht="16.5">
      <c r="B11" s="54" t="s">
        <v>18</v>
      </c>
      <c r="C11" s="55"/>
      <c r="D11" s="55"/>
      <c r="E11" s="13">
        <v>21.104099999999999</v>
      </c>
      <c r="F11" s="13">
        <v>21.104099999999999</v>
      </c>
      <c r="G11" s="14">
        <f t="shared" si="0"/>
        <v>0</v>
      </c>
      <c r="H11" s="17"/>
      <c r="I11" s="16"/>
      <c r="J11" s="19"/>
      <c r="Z11"/>
    </row>
    <row r="12" spans="2:26" ht="16.5">
      <c r="B12" s="54" t="s">
        <v>19</v>
      </c>
      <c r="C12" s="55"/>
      <c r="D12" s="23" t="s">
        <v>20</v>
      </c>
      <c r="E12" s="13">
        <v>20.751200000000001</v>
      </c>
      <c r="F12" s="13">
        <v>21.7407</v>
      </c>
      <c r="G12" s="14">
        <f t="shared" si="0"/>
        <v>0.9894999999999996</v>
      </c>
      <c r="H12" s="24"/>
      <c r="I12" s="16"/>
      <c r="J12" s="19"/>
      <c r="W12" s="19"/>
      <c r="Z12"/>
    </row>
    <row r="13" spans="2:26" ht="16.5">
      <c r="B13" s="54"/>
      <c r="C13" s="55"/>
      <c r="D13" s="23" t="s">
        <v>21</v>
      </c>
      <c r="E13" s="13">
        <v>12.8491</v>
      </c>
      <c r="F13" s="13">
        <v>13.5913</v>
      </c>
      <c r="G13" s="14">
        <f t="shared" si="0"/>
        <v>0.74220000000000041</v>
      </c>
      <c r="H13" s="21"/>
      <c r="I13" s="16"/>
      <c r="J13" s="19"/>
      <c r="N13" s="25"/>
      <c r="W13" s="19"/>
      <c r="Z13"/>
    </row>
    <row r="14" spans="2:26" ht="17.25">
      <c r="B14" s="54"/>
      <c r="C14" s="55"/>
      <c r="D14" s="23" t="s">
        <v>22</v>
      </c>
      <c r="E14" s="13">
        <v>19.4756</v>
      </c>
      <c r="F14" s="13">
        <v>20.4651</v>
      </c>
      <c r="G14" s="14">
        <f t="shared" si="0"/>
        <v>0.9894999999999996</v>
      </c>
      <c r="H14" s="21"/>
      <c r="I14" s="16"/>
      <c r="J14" s="19"/>
      <c r="W14" s="19"/>
      <c r="X14" s="16"/>
      <c r="Z14" s="12" t="s">
        <v>23</v>
      </c>
    </row>
    <row r="15" spans="2:26" ht="16.5">
      <c r="B15" s="54" t="s">
        <v>24</v>
      </c>
      <c r="C15" s="55"/>
      <c r="D15" s="55"/>
      <c r="E15" s="13">
        <v>18.425000000000001</v>
      </c>
      <c r="F15" s="13">
        <v>19.4145</v>
      </c>
      <c r="G15" s="14">
        <f t="shared" si="0"/>
        <v>0.9894999999999996</v>
      </c>
      <c r="H15" s="21"/>
      <c r="I15" s="16"/>
      <c r="J15" s="19"/>
      <c r="W15" s="19"/>
    </row>
    <row r="16" spans="2:26" ht="16.5">
      <c r="B16" s="54" t="s">
        <v>25</v>
      </c>
      <c r="C16" s="55"/>
      <c r="D16" s="55"/>
      <c r="E16" s="13">
        <v>17.810200000000002</v>
      </c>
      <c r="F16" s="13">
        <v>18.799800000000001</v>
      </c>
      <c r="G16" s="14">
        <f t="shared" si="0"/>
        <v>0.98959999999999937</v>
      </c>
      <c r="H16" s="21"/>
      <c r="I16" s="16"/>
      <c r="J16" s="19"/>
      <c r="W16" s="19"/>
    </row>
    <row r="17" spans="2:23" ht="16.5">
      <c r="B17" s="56" t="s">
        <v>26</v>
      </c>
      <c r="C17" s="57"/>
      <c r="D17" s="57"/>
      <c r="E17" s="13">
        <v>18.425000000000001</v>
      </c>
      <c r="F17" s="13">
        <v>19.4145</v>
      </c>
      <c r="G17" s="14">
        <f t="shared" si="0"/>
        <v>0.9894999999999996</v>
      </c>
      <c r="H17" s="21"/>
      <c r="I17" s="16"/>
      <c r="J17" s="19"/>
      <c r="W17" s="19"/>
    </row>
    <row r="18" spans="2:23" ht="16.5">
      <c r="B18" s="54" t="s">
        <v>27</v>
      </c>
      <c r="C18" s="55"/>
      <c r="D18" s="23" t="s">
        <v>28</v>
      </c>
      <c r="E18" s="13">
        <v>21.4238</v>
      </c>
      <c r="F18" s="13">
        <v>22.4133</v>
      </c>
      <c r="G18" s="14">
        <f t="shared" si="0"/>
        <v>0.9894999999999996</v>
      </c>
      <c r="H18" s="21"/>
      <c r="I18" s="16"/>
      <c r="J18" s="19"/>
      <c r="K18" s="16"/>
      <c r="W18" s="19"/>
    </row>
    <row r="19" spans="2:23" ht="16.5">
      <c r="B19" s="54"/>
      <c r="C19" s="55"/>
      <c r="D19" s="23" t="s">
        <v>29</v>
      </c>
      <c r="E19" s="13">
        <v>21.843199999999996</v>
      </c>
      <c r="F19" s="13">
        <v>22.832699999999996</v>
      </c>
      <c r="G19" s="14">
        <f t="shared" si="0"/>
        <v>0.9894999999999996</v>
      </c>
      <c r="H19" s="21"/>
      <c r="I19" s="16"/>
      <c r="J19" s="19"/>
      <c r="W19" s="19"/>
    </row>
    <row r="20" spans="2:23" ht="16.5">
      <c r="B20" s="54"/>
      <c r="C20" s="55"/>
      <c r="D20" s="23" t="s">
        <v>30</v>
      </c>
      <c r="E20" s="13">
        <v>21.516999999999999</v>
      </c>
      <c r="F20" s="13">
        <v>22.506499999999999</v>
      </c>
      <c r="G20" s="14">
        <f t="shared" si="0"/>
        <v>0.9894999999999996</v>
      </c>
      <c r="H20" s="21"/>
      <c r="I20" s="16"/>
      <c r="J20" s="19"/>
      <c r="W20" s="19"/>
    </row>
    <row r="21" spans="2:23" ht="16.5">
      <c r="B21" s="54"/>
      <c r="C21" s="55"/>
      <c r="D21" s="23" t="s">
        <v>31</v>
      </c>
      <c r="E21" s="13">
        <v>21.283999999999999</v>
      </c>
      <c r="F21" s="13">
        <v>22.273499999999999</v>
      </c>
      <c r="G21" s="14">
        <f t="shared" si="0"/>
        <v>0.9894999999999996</v>
      </c>
      <c r="H21" s="21"/>
      <c r="I21" s="16"/>
      <c r="J21" s="19"/>
      <c r="W21" s="19"/>
    </row>
    <row r="22" spans="2:23" ht="16.5">
      <c r="B22" s="54"/>
      <c r="C22" s="55"/>
      <c r="D22" s="23" t="s">
        <v>32</v>
      </c>
      <c r="E22" s="13">
        <v>17.543699999999998</v>
      </c>
      <c r="F22" s="13">
        <v>18.533199999999997</v>
      </c>
      <c r="G22" s="14">
        <f t="shared" si="0"/>
        <v>0.9894999999999996</v>
      </c>
      <c r="H22" s="21"/>
      <c r="I22" s="16"/>
      <c r="J22" s="19"/>
      <c r="W22" s="19"/>
    </row>
    <row r="23" spans="2:23" ht="16.5">
      <c r="B23" s="54"/>
      <c r="C23" s="55"/>
      <c r="D23" s="23" t="s">
        <v>33</v>
      </c>
      <c r="E23" s="13">
        <v>13.983500000000001</v>
      </c>
      <c r="F23" s="13">
        <v>14.7752</v>
      </c>
      <c r="G23" s="14">
        <f t="shared" si="0"/>
        <v>0.79169999999999874</v>
      </c>
      <c r="H23" s="21"/>
      <c r="I23" s="16"/>
      <c r="J23" s="19"/>
      <c r="W23" s="19"/>
    </row>
    <row r="24" spans="2:23" ht="16.5">
      <c r="B24" s="56" t="s">
        <v>34</v>
      </c>
      <c r="C24" s="57"/>
      <c r="D24" s="57"/>
      <c r="E24" s="13">
        <v>17.700700000000001</v>
      </c>
      <c r="F24" s="13">
        <v>18.690300000000001</v>
      </c>
      <c r="G24" s="14">
        <f t="shared" si="0"/>
        <v>0.98959999999999937</v>
      </c>
      <c r="H24" s="21"/>
      <c r="I24" s="16"/>
      <c r="J24" s="19"/>
      <c r="W24" s="19"/>
    </row>
    <row r="25" spans="2:23" ht="16.5">
      <c r="B25" s="56" t="s">
        <v>35</v>
      </c>
      <c r="C25" s="57"/>
      <c r="D25" s="57"/>
      <c r="E25" s="13">
        <v>17.700700000000001</v>
      </c>
      <c r="F25" s="13">
        <v>18.690300000000001</v>
      </c>
      <c r="G25" s="14">
        <f t="shared" si="0"/>
        <v>0.98959999999999937</v>
      </c>
      <c r="H25" s="21"/>
      <c r="I25" s="16"/>
      <c r="J25" s="19"/>
      <c r="W25" s="19"/>
    </row>
    <row r="26" spans="2:23" ht="16.5">
      <c r="B26" s="56" t="s">
        <v>36</v>
      </c>
      <c r="C26" s="57"/>
      <c r="D26" s="57"/>
      <c r="E26" s="13">
        <v>17.700700000000001</v>
      </c>
      <c r="F26" s="13">
        <v>18.690300000000001</v>
      </c>
      <c r="G26" s="14">
        <f t="shared" si="0"/>
        <v>0.98959999999999937</v>
      </c>
      <c r="H26" s="17"/>
      <c r="I26" s="16"/>
      <c r="J26" s="19"/>
      <c r="W26" s="19"/>
    </row>
    <row r="27" spans="2:23" ht="16.5">
      <c r="B27" s="56" t="s">
        <v>37</v>
      </c>
      <c r="C27" s="57"/>
      <c r="D27" s="57"/>
      <c r="E27" s="13">
        <v>20.6891</v>
      </c>
      <c r="F27" s="13">
        <v>21.678599999999999</v>
      </c>
      <c r="G27" s="14">
        <f t="shared" si="0"/>
        <v>0.9894999999999996</v>
      </c>
      <c r="H27" s="26"/>
      <c r="I27" s="16"/>
      <c r="J27" s="19"/>
      <c r="W27" s="19"/>
    </row>
    <row r="28" spans="2:23" ht="16.5">
      <c r="B28" s="56" t="s">
        <v>38</v>
      </c>
      <c r="C28" s="57"/>
      <c r="D28" s="57"/>
      <c r="E28" s="13">
        <v>20.940799999999999</v>
      </c>
      <c r="F28" s="13">
        <v>21.930299999999999</v>
      </c>
      <c r="G28" s="14">
        <f t="shared" si="0"/>
        <v>0.9894999999999996</v>
      </c>
      <c r="H28" s="26"/>
      <c r="I28" s="16"/>
      <c r="J28" s="19"/>
      <c r="W28" s="19"/>
    </row>
    <row r="29" spans="2:23" ht="16.5">
      <c r="B29" s="56" t="s">
        <v>39</v>
      </c>
      <c r="C29" s="57"/>
      <c r="D29" s="57"/>
      <c r="E29" s="13">
        <v>22.370899999999999</v>
      </c>
      <c r="F29" s="13">
        <v>22.370899999999999</v>
      </c>
      <c r="G29" s="14">
        <f t="shared" si="0"/>
        <v>0</v>
      </c>
      <c r="H29" s="26"/>
      <c r="I29" s="16"/>
      <c r="J29" s="19"/>
      <c r="W29" s="19"/>
    </row>
    <row r="30" spans="2:23" ht="16.5">
      <c r="B30" s="56" t="s">
        <v>40</v>
      </c>
      <c r="C30" s="57"/>
      <c r="D30" s="57"/>
      <c r="E30" s="13">
        <v>20.6891</v>
      </c>
      <c r="F30" s="13">
        <v>21.678599999999999</v>
      </c>
      <c r="G30" s="14">
        <f t="shared" si="0"/>
        <v>0.9894999999999996</v>
      </c>
      <c r="H30" s="26"/>
      <c r="I30" s="16"/>
      <c r="J30" s="19"/>
      <c r="W30" s="19"/>
    </row>
    <row r="31" spans="2:23" ht="16.5">
      <c r="B31" s="58" t="s">
        <v>41</v>
      </c>
      <c r="C31" s="59"/>
      <c r="D31" s="60"/>
      <c r="E31" s="13">
        <v>15.779</v>
      </c>
      <c r="F31" s="13">
        <v>16.768599999999999</v>
      </c>
      <c r="G31" s="14">
        <f t="shared" si="0"/>
        <v>0.98959999999999937</v>
      </c>
      <c r="H31" s="27"/>
      <c r="I31" s="16"/>
      <c r="J31" s="19"/>
      <c r="W31" s="19"/>
    </row>
    <row r="32" spans="2:23" ht="16.5">
      <c r="B32" s="51" t="s">
        <v>42</v>
      </c>
      <c r="C32" s="46" t="s">
        <v>43</v>
      </c>
      <c r="D32" s="46"/>
      <c r="E32" s="13">
        <v>21.854799999999997</v>
      </c>
      <c r="F32" s="13">
        <v>21.854799999999997</v>
      </c>
      <c r="G32" s="14">
        <f t="shared" si="0"/>
        <v>0</v>
      </c>
      <c r="H32" s="42" t="s">
        <v>44</v>
      </c>
      <c r="I32" s="16"/>
      <c r="J32" s="19"/>
      <c r="W32" s="19"/>
    </row>
    <row r="33" spans="2:23" ht="16.5">
      <c r="B33" s="52"/>
      <c r="C33" s="46" t="s">
        <v>45</v>
      </c>
      <c r="D33" s="46"/>
      <c r="E33" s="13">
        <v>21.854799999999997</v>
      </c>
      <c r="F33" s="13">
        <v>21.854799999999997</v>
      </c>
      <c r="G33" s="14">
        <f t="shared" si="0"/>
        <v>0</v>
      </c>
      <c r="H33" s="43"/>
      <c r="I33" s="16"/>
      <c r="J33" s="19"/>
      <c r="W33" s="19"/>
    </row>
    <row r="34" spans="2:23" ht="16.5">
      <c r="B34" s="52"/>
      <c r="C34" s="46" t="s">
        <v>46</v>
      </c>
      <c r="D34" s="46"/>
      <c r="E34" s="13">
        <v>20.6281</v>
      </c>
      <c r="F34" s="13">
        <v>21.617599999999999</v>
      </c>
      <c r="G34" s="14">
        <f t="shared" si="0"/>
        <v>0.9894999999999996</v>
      </c>
      <c r="H34" s="43"/>
      <c r="I34" s="16"/>
      <c r="J34" s="19"/>
      <c r="W34" s="19"/>
    </row>
    <row r="35" spans="2:23" ht="16.5">
      <c r="B35" s="52"/>
      <c r="C35" s="47" t="s">
        <v>47</v>
      </c>
      <c r="D35" s="48"/>
      <c r="E35" s="13">
        <v>21.348199999999999</v>
      </c>
      <c r="F35" s="13">
        <v>21.348199999999999</v>
      </c>
      <c r="G35" s="14">
        <f t="shared" si="0"/>
        <v>0</v>
      </c>
      <c r="H35" s="44"/>
      <c r="I35" s="16"/>
      <c r="J35" s="19"/>
      <c r="W35" s="19"/>
    </row>
    <row r="36" spans="2:23" ht="16.5">
      <c r="B36" s="52"/>
      <c r="C36" s="49" t="s">
        <v>48</v>
      </c>
      <c r="D36" s="23" t="s">
        <v>20</v>
      </c>
      <c r="E36" s="13">
        <v>19.9834</v>
      </c>
      <c r="F36" s="13">
        <v>20.972899999999999</v>
      </c>
      <c r="G36" s="14">
        <f t="shared" si="0"/>
        <v>0.9894999999999996</v>
      </c>
      <c r="H36" s="44"/>
      <c r="I36" s="16"/>
      <c r="J36" s="19"/>
      <c r="W36" s="19"/>
    </row>
    <row r="37" spans="2:23" ht="16.5">
      <c r="B37" s="52"/>
      <c r="C37" s="46"/>
      <c r="D37" s="23" t="s">
        <v>21</v>
      </c>
      <c r="E37" s="13">
        <v>12.081300000000001</v>
      </c>
      <c r="F37" s="13">
        <v>12.823500000000001</v>
      </c>
      <c r="G37" s="14">
        <f t="shared" si="0"/>
        <v>0.74220000000000041</v>
      </c>
      <c r="H37" s="44"/>
      <c r="I37" s="16"/>
      <c r="J37" s="19"/>
      <c r="W37" s="19"/>
    </row>
    <row r="38" spans="2:23" ht="16.5">
      <c r="B38" s="52"/>
      <c r="C38" s="46"/>
      <c r="D38" s="23" t="s">
        <v>22</v>
      </c>
      <c r="E38" s="13">
        <v>18.707799999999999</v>
      </c>
      <c r="F38" s="13">
        <v>19.697299999999998</v>
      </c>
      <c r="G38" s="14">
        <f t="shared" si="0"/>
        <v>0.9894999999999996</v>
      </c>
      <c r="H38" s="44"/>
      <c r="I38" s="16"/>
      <c r="J38" s="19"/>
      <c r="W38" s="19"/>
    </row>
    <row r="39" spans="2:23" ht="17.25" thickBot="1">
      <c r="B39" s="53"/>
      <c r="C39" s="50" t="s">
        <v>49</v>
      </c>
      <c r="D39" s="50"/>
      <c r="E39" s="28">
        <v>20.655999999999999</v>
      </c>
      <c r="F39" s="28">
        <v>21.645499999999998</v>
      </c>
      <c r="G39" s="29">
        <f t="shared" si="0"/>
        <v>0.9894999999999996</v>
      </c>
      <c r="H39" s="45"/>
      <c r="I39" s="16"/>
      <c r="J39" s="19"/>
      <c r="W39" s="19"/>
    </row>
    <row r="40" spans="2:23">
      <c r="B40" s="30" t="s">
        <v>50</v>
      </c>
      <c r="C40" s="31"/>
      <c r="D40" s="32"/>
      <c r="E40" s="32"/>
      <c r="F40" s="32"/>
      <c r="G40" s="33"/>
      <c r="H40" s="34"/>
    </row>
    <row r="41" spans="2:23" ht="14.25">
      <c r="B41" s="30"/>
      <c r="D41" s="35"/>
      <c r="E41" s="36"/>
      <c r="F41" s="35"/>
      <c r="G41" s="37"/>
      <c r="H41" s="38"/>
    </row>
    <row r="42" spans="2:23">
      <c r="E42" s="39"/>
      <c r="F42" s="39"/>
    </row>
    <row r="43" spans="2:23" ht="16.5">
      <c r="E43" s="40"/>
      <c r="F43" s="40"/>
      <c r="H43" s="41"/>
    </row>
  </sheetData>
  <mergeCells count="31">
    <mergeCell ref="B15:D15"/>
    <mergeCell ref="B2:H2"/>
    <mergeCell ref="B3:D3"/>
    <mergeCell ref="B4:D5"/>
    <mergeCell ref="H4:H5"/>
    <mergeCell ref="B6:D6"/>
    <mergeCell ref="B7:D7"/>
    <mergeCell ref="B8:D8"/>
    <mergeCell ref="B9:D9"/>
    <mergeCell ref="B10:D10"/>
    <mergeCell ref="B11:D11"/>
    <mergeCell ref="B12:C14"/>
    <mergeCell ref="B32:B39"/>
    <mergeCell ref="C32:D32"/>
    <mergeCell ref="B16:D16"/>
    <mergeCell ref="B17:D17"/>
    <mergeCell ref="B18:C23"/>
    <mergeCell ref="B24:D24"/>
    <mergeCell ref="B25:D25"/>
    <mergeCell ref="B26:D26"/>
    <mergeCell ref="B27:D27"/>
    <mergeCell ref="B28:D28"/>
    <mergeCell ref="B29:D29"/>
    <mergeCell ref="B30:D30"/>
    <mergeCell ref="B31:D31"/>
    <mergeCell ref="H32:H39"/>
    <mergeCell ref="C33:D33"/>
    <mergeCell ref="C34:D34"/>
    <mergeCell ref="C35:D35"/>
    <mergeCell ref="C36:C38"/>
    <mergeCell ref="C39:D39"/>
  </mergeCells>
  <phoneticPr fontId="4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경기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김광용</dc:creator>
  <cp:lastModifiedBy>김광용</cp:lastModifiedBy>
  <cp:lastPrinted>2025-07-01T00:44:48Z</cp:lastPrinted>
  <dcterms:created xsi:type="dcterms:W3CDTF">2025-06-30T05:30:47Z</dcterms:created>
  <dcterms:modified xsi:type="dcterms:W3CDTF">2025-08-29T09:55:44Z</dcterms:modified>
</cp:coreProperties>
</file>