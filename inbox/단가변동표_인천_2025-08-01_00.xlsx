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김광용\2025년\요금단가 작성 및 등록\4.홈페이지 공지용\"/>
    </mc:Choice>
  </mc:AlternateContent>
  <xr:revisionPtr revIDLastSave="0" documentId="13_ncr:1_{22302033-20E9-4E73-A7F0-E82FA4EAD5E6}" xr6:coauthVersionLast="36" xr6:coauthVersionMax="36" xr10:uidLastSave="{00000000-0000-0000-0000-000000000000}"/>
  <bookViews>
    <workbookView xWindow="0" yWindow="0" windowWidth="28800" windowHeight="11640" xr2:uid="{7BFA1DA7-7A14-4425-9196-24586BFA2714}"/>
  </bookViews>
  <sheets>
    <sheet name="인천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</calcChain>
</file>

<file path=xl/sharedStrings.xml><?xml version="1.0" encoding="utf-8"?>
<sst xmlns="http://schemas.openxmlformats.org/spreadsheetml/2006/main" count="53" uniqueCount="49">
  <si>
    <t>도시가스 요금 단가표(인천시)</t>
    <phoneticPr fontId="6" type="noConversion"/>
  </si>
  <si>
    <t>(단위:원/MJ,VAT별도)</t>
    <phoneticPr fontId="6" type="noConversion"/>
  </si>
  <si>
    <t>용도 구분</t>
    <phoneticPr fontId="6" type="noConversion"/>
  </si>
  <si>
    <t>판매단가 증감</t>
    <phoneticPr fontId="6" type="noConversion"/>
  </si>
  <si>
    <t>비고</t>
    <phoneticPr fontId="6" type="noConversion"/>
  </si>
  <si>
    <t>판매단가</t>
  </si>
  <si>
    <t>[B- A]</t>
    <phoneticPr fontId="6" type="noConversion"/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</si>
  <si>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4" type="noConversion"/>
  </si>
  <si>
    <t>취 사 용</t>
    <phoneticPr fontId="4" type="noConversion"/>
  </si>
  <si>
    <t>주택난방</t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</si>
  <si>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4" type="noConversion"/>
  </si>
  <si>
    <t>업무난방</t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</si>
  <si>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4" type="noConversion"/>
  </si>
  <si>
    <t>영 업 용 1</t>
    <phoneticPr fontId="4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</si>
  <si>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</si>
  <si>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영 업 용 2</t>
    <phoneticPr fontId="4" type="noConversion"/>
  </si>
  <si>
    <t>냉난방공조용</t>
    <phoneticPr fontId="4" type="noConversion"/>
  </si>
  <si>
    <t>동절기(1~3,12월)</t>
    <phoneticPr fontId="6" type="noConversion"/>
  </si>
  <si>
    <t>하절기(5~9월)</t>
    <phoneticPr fontId="6" type="noConversion"/>
  </si>
  <si>
    <t>기타월(4,10,11월)</t>
    <phoneticPr fontId="6" type="noConversion"/>
  </si>
  <si>
    <t># 첨부. 2021.1. 1. 기준 단가 변동표 1부. 끝.</t>
  </si>
  <si>
    <t>산 업 용</t>
  </si>
  <si>
    <t>수소제조용</t>
    <phoneticPr fontId="4" type="noConversion"/>
  </si>
  <si>
    <t>사회복지시설</t>
    <phoneticPr fontId="6" type="noConversion"/>
  </si>
  <si>
    <t>수송용</t>
    <phoneticPr fontId="4" type="noConversion"/>
  </si>
  <si>
    <t>직영충전소</t>
    <phoneticPr fontId="6" type="noConversion"/>
  </si>
  <si>
    <t xml:space="preserve"> - 최대부하</t>
  </si>
  <si>
    <t xml:space="preserve"> - 중간부하</t>
  </si>
  <si>
    <t xml:space="preserve"> - 경부하</t>
  </si>
  <si>
    <t>자영충전소</t>
    <phoneticPr fontId="6" type="noConversion"/>
  </si>
  <si>
    <t>차량충전 수소제조</t>
    <phoneticPr fontId="4" type="noConversion"/>
  </si>
  <si>
    <t>공동주택 등 열병합</t>
    <phoneticPr fontId="6" type="noConversion"/>
  </si>
  <si>
    <t>지역열병합 (CHP)</t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</si>
  <si>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</si>
  <si>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'03.1.1이후 신규(추가)분 한함</t>
    </r>
    <phoneticPr fontId="6" type="noConversion"/>
  </si>
  <si>
    <r>
      <t xml:space="preserve">공동주택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</si>
  <si>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t>연료전지용</t>
    <phoneticPr fontId="6" type="noConversion"/>
  </si>
  <si>
    <t>특별단가
(군사시설)</t>
    <phoneticPr fontId="6" type="noConversion"/>
  </si>
  <si>
    <t>취사용</t>
  </si>
  <si>
    <t>개별소비세
0.7678원/MJ
면제
('17.12.28.변동)</t>
    <phoneticPr fontId="6" type="noConversion"/>
  </si>
  <si>
    <t>난방용</t>
  </si>
  <si>
    <t>업무용</t>
  </si>
  <si>
    <t>영업용1</t>
    <phoneticPr fontId="6" type="noConversion"/>
  </si>
  <si>
    <t>냉난방
공조용</t>
    <phoneticPr fontId="6" type="noConversion"/>
  </si>
  <si>
    <t>수송용</t>
    <phoneticPr fontId="6" type="noConversion"/>
  </si>
  <si>
    <t>▷ 인천시 취사,난방세대 기본요금(1,000원) 적용</t>
    <phoneticPr fontId="6" type="noConversion"/>
  </si>
  <si>
    <t>(작성일:2025. 08. 01)</t>
    <phoneticPr fontId="4" type="noConversion"/>
  </si>
  <si>
    <t>A) 2025.07.01</t>
    <phoneticPr fontId="4" type="noConversion"/>
  </si>
  <si>
    <t>B) 2025.08.01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</si>
</sst>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&quot;+&quot;#,##0.0000_ ;_ * &quot;▼&quot;#,##0.0000_ ;_ * &quot;-&quot;??_ ;_ @_ "/>
    <numFmt numFmtId="180" formatCode="_ * #,##0.00_ ;_ * &quot;▽&quot;#,##0.00_ ;_ * &quot;-&quot;??_ ;_ @_ "/>
    <numFmt numFmtId="181" formatCode="_-* #,##0.0000_-;\-* #,##0.0000_-;_-* &quot;-&quot;??_-;_-@_-"/>
    <numFmt numFmtId="182" formatCode="0.0%"/>
    <numFmt numFmtId="183" formatCode="_ * #,##0.00_ ;_ * \-#,##0.00_ ;_ * &quot;-&quot;_ ;_ @_ 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b/>
      <sz val="11"/>
      <name val="맑은 고딕"/>
      <family val="3"/>
      <charset val="129"/>
    </font>
    <font>
      <b/>
      <sz val="12"/>
      <color rgb="FF2E2E2E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맑은 고딕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HY울릉도L"/>
      <family val="1"/>
      <charset val="129"/>
    </font>
    <font>
      <b/>
      <sz val="12"/>
      <name val="HY울릉도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</cellStyleXfs>
  <cellXfs count="73">
    <xf numFmtId="0" fontId="0" fillId="0" borderId="0" xfId="0">
      <alignment vertical="center"/>
    </xf>
    <xf numFmtId="0" fontId="3" fillId="0" borderId="0" xfId="3" applyFont="1"/>
    <xf numFmtId="0" fontId="2" fillId="0" borderId="0" xfId="3"/>
    <xf numFmtId="176" fontId="2" fillId="0" borderId="0" xfId="3" applyNumberFormat="1" applyAlignment="1">
      <alignment horizontal="center"/>
    </xf>
    <xf numFmtId="176" fontId="2" fillId="0" borderId="0" xfId="3" applyNumberFormat="1"/>
    <xf numFmtId="0" fontId="2" fillId="0" borderId="0" xfId="3" applyAlignment="1">
      <alignment horizontal="left"/>
    </xf>
    <xf numFmtId="43" fontId="8" fillId="0" borderId="0" xfId="3" applyNumberFormat="1" applyFont="1" applyAlignment="1">
      <alignment vertical="center" shrinkToFit="1"/>
    </xf>
    <xf numFmtId="176" fontId="8" fillId="0" borderId="0" xfId="3" applyNumberFormat="1" applyFont="1" applyAlignment="1">
      <alignment horizontal="center" vertical="center" shrinkToFit="1"/>
    </xf>
    <xf numFmtId="0" fontId="9" fillId="0" borderId="0" xfId="3" applyFont="1" applyAlignment="1">
      <alignment horizontal="right"/>
    </xf>
    <xf numFmtId="177" fontId="10" fillId="2" borderId="5" xfId="3" applyNumberFormat="1" applyFont="1" applyFill="1" applyBorder="1" applyAlignment="1">
      <alignment horizontal="center" vertical="center" wrapText="1" shrinkToFit="1"/>
    </xf>
    <xf numFmtId="0" fontId="10" fillId="2" borderId="10" xfId="3" applyFont="1" applyFill="1" applyBorder="1" applyAlignment="1">
      <alignment horizontal="center" vertical="center" shrinkToFit="1"/>
    </xf>
    <xf numFmtId="14" fontId="10" fillId="2" borderId="10" xfId="3" quotePrefix="1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178" fontId="13" fillId="0" borderId="10" xfId="1" applyNumberFormat="1" applyFont="1" applyFill="1" applyBorder="1" applyAlignment="1">
      <alignment vertical="center" shrinkToFit="1"/>
    </xf>
    <xf numFmtId="179" fontId="13" fillId="0" borderId="10" xfId="1" applyNumberFormat="1" applyFont="1" applyFill="1" applyBorder="1" applyAlignment="1">
      <alignment horizontal="center" vertical="center" shrinkToFit="1"/>
    </xf>
    <xf numFmtId="180" fontId="13" fillId="0" borderId="11" xfId="3" quotePrefix="1" applyNumberFormat="1" applyFont="1" applyFill="1" applyBorder="1" applyAlignment="1">
      <alignment horizontal="center" vertical="center" wrapText="1" shrinkToFit="1"/>
    </xf>
    <xf numFmtId="181" fontId="2" fillId="0" borderId="0" xfId="3" applyNumberFormat="1"/>
    <xf numFmtId="180" fontId="13" fillId="0" borderId="11" xfId="3" quotePrefix="1" applyNumberFormat="1" applyFont="1" applyFill="1" applyBorder="1" applyAlignment="1">
      <alignment horizontal="center" vertical="center" shrinkToFit="1"/>
    </xf>
    <xf numFmtId="9" fontId="2" fillId="0" borderId="0" xfId="2" applyFont="1" applyAlignment="1"/>
    <xf numFmtId="41" fontId="2" fillId="0" borderId="0" xfId="1" applyFont="1" applyAlignment="1"/>
    <xf numFmtId="182" fontId="2" fillId="0" borderId="0" xfId="2" applyNumberFormat="1" applyFont="1" applyAlignment="1"/>
    <xf numFmtId="0" fontId="10" fillId="0" borderId="10" xfId="3" applyFont="1" applyFill="1" applyBorder="1" applyAlignment="1">
      <alignment horizontal="left" vertical="center" indent="1" shrinkToFit="1"/>
    </xf>
    <xf numFmtId="176" fontId="2" fillId="0" borderId="13" xfId="3" applyNumberFormat="1" applyFont="1" applyBorder="1"/>
    <xf numFmtId="180" fontId="13" fillId="0" borderId="11" xfId="3" applyNumberFormat="1" applyFont="1" applyFill="1" applyBorder="1" applyAlignment="1">
      <alignment horizontal="center" vertical="center" shrinkToFit="1"/>
    </xf>
    <xf numFmtId="0" fontId="18" fillId="0" borderId="0" xfId="3" applyFont="1"/>
    <xf numFmtId="180" fontId="13" fillId="0" borderId="11" xfId="3" applyNumberFormat="1" applyFont="1" applyFill="1" applyBorder="1" applyAlignment="1">
      <alignment vertical="center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0" fontId="10" fillId="0" borderId="10" xfId="3" applyFont="1" applyFill="1" applyBorder="1" applyAlignment="1">
      <alignment horizontal="left" vertical="center" indent="2" shrinkToFit="1"/>
    </xf>
    <xf numFmtId="178" fontId="13" fillId="0" borderId="24" xfId="1" applyNumberFormat="1" applyFont="1" applyFill="1" applyBorder="1" applyAlignment="1">
      <alignment vertical="center" shrinkToFit="1"/>
    </xf>
    <xf numFmtId="179" fontId="13" fillId="0" borderId="24" xfId="1" applyNumberFormat="1" applyFont="1" applyFill="1" applyBorder="1" applyAlignment="1">
      <alignment horizontal="center" vertical="center" shrinkToFit="1"/>
    </xf>
    <xf numFmtId="0" fontId="19" fillId="0" borderId="0" xfId="3" applyFont="1" applyBorder="1" applyAlignment="1">
      <alignment horizontal="left" vertical="center"/>
    </xf>
    <xf numFmtId="0" fontId="2" fillId="0" borderId="0" xfId="3" applyFont="1"/>
    <xf numFmtId="0" fontId="19" fillId="0" borderId="0" xfId="3" applyFont="1" applyBorder="1" applyAlignment="1">
      <alignment horizontal="left" vertical="center" shrinkToFit="1"/>
    </xf>
    <xf numFmtId="176" fontId="19" fillId="0" borderId="0" xfId="3" applyNumberFormat="1" applyFont="1" applyBorder="1" applyAlignment="1">
      <alignment horizontal="center" vertical="center" shrinkToFit="1"/>
    </xf>
    <xf numFmtId="176" fontId="19" fillId="0" borderId="0" xfId="3" applyNumberFormat="1" applyFont="1" applyBorder="1" applyAlignment="1">
      <alignment horizontal="left" vertical="center" shrinkToFit="1"/>
    </xf>
    <xf numFmtId="0" fontId="20" fillId="0" borderId="0" xfId="3" applyFont="1" applyBorder="1" applyAlignment="1">
      <alignment horizontal="left" vertical="center" shrinkToFit="1"/>
    </xf>
    <xf numFmtId="178" fontId="20" fillId="0" borderId="0" xfId="3" applyNumberFormat="1" applyFont="1" applyBorder="1" applyAlignment="1">
      <alignment horizontal="left" vertical="center" shrinkToFit="1"/>
    </xf>
    <xf numFmtId="176" fontId="20" fillId="0" borderId="0" xfId="3" applyNumberFormat="1" applyFont="1" applyBorder="1" applyAlignment="1">
      <alignment horizontal="center" vertical="center" shrinkToFit="1"/>
    </xf>
    <xf numFmtId="182" fontId="20" fillId="0" borderId="0" xfId="2" applyNumberFormat="1" applyFont="1" applyBorder="1" applyAlignment="1">
      <alignment horizontal="left" vertical="center" shrinkToFit="1"/>
    </xf>
    <xf numFmtId="178" fontId="2" fillId="0" borderId="0" xfId="3" applyNumberFormat="1"/>
    <xf numFmtId="43" fontId="2" fillId="0" borderId="0" xfId="3" applyNumberFormat="1"/>
    <xf numFmtId="182" fontId="1" fillId="0" borderId="0" xfId="2" applyNumberFormat="1" applyAlignment="1"/>
    <xf numFmtId="0" fontId="10" fillId="0" borderId="12" xfId="3" applyFont="1" applyFill="1" applyBorder="1" applyAlignment="1">
      <alignment horizontal="left" vertical="center" wrapText="1" indent="2" shrinkToFit="1"/>
    </xf>
    <xf numFmtId="0" fontId="10" fillId="0" borderId="10" xfId="3" applyFont="1" applyFill="1" applyBorder="1" applyAlignment="1">
      <alignment horizontal="left" vertical="center" wrapText="1" indent="2" shrinkToFit="1"/>
    </xf>
    <xf numFmtId="0" fontId="10" fillId="0" borderId="14" xfId="3" applyFont="1" applyFill="1" applyBorder="1" applyAlignment="1">
      <alignment horizontal="left" vertical="center" wrapText="1" indent="2" shrinkToFit="1"/>
    </xf>
    <xf numFmtId="0" fontId="10" fillId="0" borderId="15" xfId="3" applyFont="1" applyFill="1" applyBorder="1" applyAlignment="1">
      <alignment horizontal="left" vertical="center" wrapText="1" indent="2" shrinkToFit="1"/>
    </xf>
    <xf numFmtId="0" fontId="10" fillId="0" borderId="16" xfId="3" applyFont="1" applyFill="1" applyBorder="1" applyAlignment="1">
      <alignment horizontal="left" vertical="center" wrapText="1" indent="2" shrinkToFit="1"/>
    </xf>
    <xf numFmtId="0" fontId="10" fillId="0" borderId="18" xfId="3" applyFont="1" applyFill="1" applyBorder="1" applyAlignment="1">
      <alignment horizontal="center" vertical="center" wrapText="1" shrinkToFit="1"/>
    </xf>
    <xf numFmtId="0" fontId="10" fillId="0" borderId="19" xfId="3" applyFont="1" applyFill="1" applyBorder="1" applyAlignment="1">
      <alignment horizontal="center" vertical="center" wrapText="1" shrinkToFit="1"/>
    </xf>
    <xf numFmtId="0" fontId="10" fillId="0" borderId="23" xfId="3" applyFont="1" applyFill="1" applyBorder="1" applyAlignment="1">
      <alignment horizontal="center" vertical="center" wrapText="1" shrinkToFit="1"/>
    </xf>
    <xf numFmtId="0" fontId="10" fillId="0" borderId="10" xfId="3" applyFont="1" applyFill="1" applyBorder="1" applyAlignment="1">
      <alignment horizontal="left" vertical="center" indent="1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183" fontId="13" fillId="0" borderId="20" xfId="4" applyNumberFormat="1" applyFont="1" applyBorder="1" applyAlignment="1">
      <alignment horizontal="center" vertical="center" shrinkToFit="1"/>
    </xf>
    <xf numFmtId="183" fontId="13" fillId="0" borderId="22" xfId="4" applyNumberFormat="1" applyFont="1" applyBorder="1" applyAlignment="1">
      <alignment horizontal="center" vertical="center" shrinkToFit="1"/>
    </xf>
    <xf numFmtId="183" fontId="13" fillId="0" borderId="25" xfId="4" applyNumberFormat="1" applyFont="1" applyBorder="1" applyAlignment="1">
      <alignment horizontal="center" vertical="center" shrinkToFit="1"/>
    </xf>
    <xf numFmtId="0" fontId="10" fillId="0" borderId="21" xfId="3" applyFont="1" applyFill="1" applyBorder="1" applyAlignment="1">
      <alignment horizontal="left" vertical="center" indent="1" shrinkToFit="1"/>
    </xf>
    <xf numFmtId="0" fontId="10" fillId="0" borderId="16" xfId="3" applyFont="1" applyFill="1" applyBorder="1" applyAlignment="1">
      <alignment horizontal="left" vertical="center" indent="1" shrinkToFit="1"/>
    </xf>
    <xf numFmtId="0" fontId="10" fillId="0" borderId="10" xfId="3" applyFont="1" applyFill="1" applyBorder="1" applyAlignment="1">
      <alignment horizontal="left" vertical="center" wrapText="1" indent="1" shrinkToFit="1"/>
    </xf>
    <xf numFmtId="0" fontId="10" fillId="0" borderId="24" xfId="3" applyFont="1" applyFill="1" applyBorder="1" applyAlignment="1">
      <alignment horizontal="left" vertical="center" indent="1" shrinkToFit="1"/>
    </xf>
    <xf numFmtId="0" fontId="10" fillId="0" borderId="12" xfId="3" applyFont="1" applyFill="1" applyBorder="1" applyAlignment="1">
      <alignment horizontal="left" vertical="center" indent="3" shrinkToFit="1"/>
    </xf>
    <xf numFmtId="0" fontId="10" fillId="0" borderId="10" xfId="3" applyFont="1" applyFill="1" applyBorder="1" applyAlignment="1">
      <alignment horizontal="left" vertical="center" indent="3" shrinkToFit="1"/>
    </xf>
    <xf numFmtId="0" fontId="10" fillId="0" borderId="12" xfId="3" applyFont="1" applyFill="1" applyBorder="1" applyAlignment="1">
      <alignment horizontal="left" vertical="center" indent="2" shrinkToFit="1"/>
    </xf>
    <xf numFmtId="0" fontId="10" fillId="0" borderId="10" xfId="3" applyFont="1" applyFill="1" applyBorder="1" applyAlignment="1">
      <alignment horizontal="left" vertical="center" indent="2" shrinkToFit="1"/>
    </xf>
    <xf numFmtId="0" fontId="5" fillId="0" borderId="0" xfId="3" applyFont="1" applyAlignment="1">
      <alignment horizontal="center" vertical="center" shrinkToFit="1"/>
    </xf>
    <xf numFmtId="0" fontId="7" fillId="0" borderId="1" xfId="3" applyFont="1" applyBorder="1" applyAlignment="1">
      <alignment horizontal="left" vertical="center" shrinkToFit="1"/>
    </xf>
    <xf numFmtId="0" fontId="10" fillId="2" borderId="2" xfId="3" applyFont="1" applyFill="1" applyBorder="1" applyAlignment="1">
      <alignment horizontal="center" vertical="center" wrapText="1" shrinkToFit="1"/>
    </xf>
    <xf numFmtId="0" fontId="10" fillId="2" borderId="3" xfId="3" applyFont="1" applyFill="1" applyBorder="1" applyAlignment="1">
      <alignment horizontal="center" vertical="center" wrapText="1" shrinkToFit="1"/>
    </xf>
    <xf numFmtId="0" fontId="10" fillId="2" borderId="4" xfId="3" applyFont="1" applyFill="1" applyBorder="1" applyAlignment="1">
      <alignment horizontal="center" vertical="center" wrapText="1" shrinkToFit="1"/>
    </xf>
    <xf numFmtId="0" fontId="10" fillId="2" borderId="7" xfId="3" applyFont="1" applyFill="1" applyBorder="1" applyAlignment="1">
      <alignment horizontal="center" vertical="center" wrapText="1" shrinkToFit="1"/>
    </xf>
    <xf numFmtId="0" fontId="10" fillId="2" borderId="8" xfId="3" applyFont="1" applyFill="1" applyBorder="1" applyAlignment="1">
      <alignment horizontal="center" vertical="center" wrapText="1" shrinkToFit="1"/>
    </xf>
    <xf numFmtId="0" fontId="10" fillId="2" borderId="9" xfId="3" applyFont="1" applyFill="1" applyBorder="1" applyAlignment="1">
      <alignment horizontal="center" vertical="center" wrapText="1" shrinkToFit="1"/>
    </xf>
    <xf numFmtId="0" fontId="10" fillId="2" borderId="6" xfId="3" applyFont="1" applyFill="1" applyBorder="1" applyAlignment="1">
      <alignment horizontal="center" vertical="center" wrapText="1" shrinkToFit="1"/>
    </xf>
    <xf numFmtId="0" fontId="10" fillId="2" borderId="11" xfId="3" applyFont="1" applyFill="1" applyBorder="1" applyAlignment="1">
      <alignment horizontal="center" vertical="center" shrinkToFit="1"/>
    </xf>
  </cellXfs>
  <cellStyles count="5">
    <cellStyle name="백분율" xfId="2" builtinId="5"/>
    <cellStyle name="쉼표 [0]" xfId="1" builtinId="6"/>
    <cellStyle name="쉼표 [0]_인천요율변경(04.08.02)" xfId="4" xr:uid="{C23CB2E5-9180-4A27-AB84-D1F9D4186A72}"/>
    <cellStyle name="표준" xfId="0" builtinId="0"/>
    <cellStyle name="표준_인천요율변경(04.08.02)" xfId="3" xr:uid="{09AAC89B-AB77-401B-86C6-FC53CC130B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1120-1DB9-4324-B523-17852BDA264F}">
  <dimension ref="B1:Z40"/>
  <sheetViews>
    <sheetView showGridLines="0" tabSelected="1" zoomScale="85" zoomScaleNormal="85" zoomScaleSheetLayoutView="70" workbookViewId="0">
      <selection activeCell="K17" sqref="K17"/>
    </sheetView>
  </sheetViews>
  <sheetFormatPr defaultColWidth="9" defaultRowHeight="13.5"/>
  <cols>
    <col min="1" max="1" width="3.25" style="2" customWidth="1"/>
    <col min="2" max="2" width="13" style="1" customWidth="1"/>
    <col min="3" max="3" width="10.625" style="2" customWidth="1"/>
    <col min="4" max="4" width="21.625" style="2" customWidth="1"/>
    <col min="5" max="6" width="15.625" style="2" customWidth="1"/>
    <col min="7" max="7" width="15.625" style="3" customWidth="1"/>
    <col min="8" max="8" width="16.25" style="4" customWidth="1"/>
    <col min="9" max="9" width="10.25" style="2" customWidth="1"/>
    <col min="10" max="10" width="9" style="2"/>
    <col min="11" max="11" width="15.625" style="2" bestFit="1" customWidth="1"/>
    <col min="12" max="22" width="9" style="2"/>
    <col min="23" max="24" width="10" style="2" bestFit="1" customWidth="1"/>
    <col min="25" max="25" width="9" style="2"/>
    <col min="26" max="26" width="10.625" style="2" hidden="1" customWidth="1"/>
    <col min="27" max="16384" width="9" style="2"/>
  </cols>
  <sheetData>
    <row r="1" spans="2:26" ht="7.5" customHeight="1"/>
    <row r="2" spans="2:26" s="5" customFormat="1" ht="18.75" customHeight="1">
      <c r="B2" s="63" t="s">
        <v>0</v>
      </c>
      <c r="C2" s="63"/>
      <c r="D2" s="63"/>
      <c r="E2" s="63"/>
      <c r="F2" s="63"/>
      <c r="G2" s="63"/>
      <c r="H2" s="63"/>
    </row>
    <row r="3" spans="2:26" ht="17.25" thickBot="1">
      <c r="B3" s="64" t="s">
        <v>46</v>
      </c>
      <c r="C3" s="64"/>
      <c r="D3" s="64"/>
      <c r="E3" s="6"/>
      <c r="F3" s="6"/>
      <c r="G3" s="7"/>
      <c r="H3" s="8" t="s">
        <v>1</v>
      </c>
    </row>
    <row r="4" spans="2:26" ht="16.5">
      <c r="B4" s="65" t="s">
        <v>2</v>
      </c>
      <c r="C4" s="66"/>
      <c r="D4" s="67"/>
      <c r="E4" s="9" t="s">
        <v>47</v>
      </c>
      <c r="F4" s="9" t="s">
        <v>48</v>
      </c>
      <c r="G4" s="9" t="s">
        <v>3</v>
      </c>
      <c r="H4" s="71" t="s">
        <v>4</v>
      </c>
    </row>
    <row r="5" spans="2:26" ht="17.25">
      <c r="B5" s="68"/>
      <c r="C5" s="69"/>
      <c r="D5" s="70"/>
      <c r="E5" s="10" t="s">
        <v>5</v>
      </c>
      <c r="F5" s="10" t="s">
        <v>5</v>
      </c>
      <c r="G5" s="11" t="s">
        <v>6</v>
      </c>
      <c r="H5" s="72"/>
      <c r="Z5" s="12" t="s">
        <v>7</v>
      </c>
    </row>
    <row r="6" spans="2:26" ht="17.100000000000001" customHeight="1">
      <c r="B6" s="59" t="s">
        <v>8</v>
      </c>
      <c r="C6" s="60"/>
      <c r="D6" s="60"/>
      <c r="E6" s="13">
        <v>22.508399999999998</v>
      </c>
      <c r="F6" s="13">
        <v>22.508399999999998</v>
      </c>
      <c r="G6" s="14">
        <f>F6-E6</f>
        <v>0</v>
      </c>
      <c r="H6" s="15"/>
      <c r="I6" s="16"/>
      <c r="Z6"/>
    </row>
    <row r="7" spans="2:26" ht="17.100000000000001" customHeight="1">
      <c r="B7" s="59" t="s">
        <v>9</v>
      </c>
      <c r="C7" s="60"/>
      <c r="D7" s="60"/>
      <c r="E7" s="13">
        <v>22.508399999999998</v>
      </c>
      <c r="F7" s="13">
        <v>22.508399999999998</v>
      </c>
      <c r="G7" s="14">
        <f t="shared" ref="G7:G36" si="0">F7-E7</f>
        <v>0</v>
      </c>
      <c r="H7" s="17"/>
      <c r="I7" s="16"/>
      <c r="W7" s="18"/>
      <c r="Z7" s="12" t="s">
        <v>10</v>
      </c>
    </row>
    <row r="8" spans="2:26" ht="17.100000000000001" customHeight="1">
      <c r="B8" s="59" t="s">
        <v>11</v>
      </c>
      <c r="C8" s="60"/>
      <c r="D8" s="60"/>
      <c r="E8" s="13">
        <v>21.521999999999998</v>
      </c>
      <c r="F8" s="13">
        <v>21.298400000000001</v>
      </c>
      <c r="G8" s="14">
        <f t="shared" si="0"/>
        <v>-0.22359999999999758</v>
      </c>
      <c r="H8" s="17"/>
      <c r="I8" s="16"/>
      <c r="K8" s="19"/>
      <c r="W8" s="20"/>
      <c r="X8" s="16"/>
      <c r="Z8" s="12" t="s">
        <v>12</v>
      </c>
    </row>
    <row r="9" spans="2:26" ht="17.100000000000001" customHeight="1">
      <c r="B9" s="59" t="s">
        <v>13</v>
      </c>
      <c r="C9" s="60"/>
      <c r="D9" s="60"/>
      <c r="E9" s="13">
        <v>22.263500000000001</v>
      </c>
      <c r="F9" s="13">
        <v>22.263500000000001</v>
      </c>
      <c r="G9" s="14">
        <f t="shared" si="0"/>
        <v>0</v>
      </c>
      <c r="H9" s="17"/>
      <c r="I9" s="16"/>
      <c r="Z9" s="12" t="s">
        <v>14</v>
      </c>
    </row>
    <row r="10" spans="2:26" ht="17.100000000000001" customHeight="1">
      <c r="B10" s="59" t="s">
        <v>15</v>
      </c>
      <c r="C10" s="60"/>
      <c r="D10" s="60"/>
      <c r="E10" s="13">
        <v>21.006599999999999</v>
      </c>
      <c r="F10" s="13">
        <v>21.006599999999999</v>
      </c>
      <c r="G10" s="14">
        <f t="shared" si="0"/>
        <v>0</v>
      </c>
      <c r="H10" s="17"/>
      <c r="I10" s="16"/>
      <c r="Z10"/>
    </row>
    <row r="11" spans="2:26" ht="17.100000000000001" customHeight="1">
      <c r="B11" s="61" t="s">
        <v>16</v>
      </c>
      <c r="C11" s="62"/>
      <c r="D11" s="21" t="s">
        <v>17</v>
      </c>
      <c r="E11" s="13">
        <v>20.877299999999998</v>
      </c>
      <c r="F11" s="13">
        <v>20.653700000000001</v>
      </c>
      <c r="G11" s="14">
        <f t="shared" si="0"/>
        <v>-0.22359999999999758</v>
      </c>
      <c r="H11" s="22"/>
      <c r="I11" s="16"/>
      <c r="W11" s="20"/>
      <c r="Z11"/>
    </row>
    <row r="12" spans="2:26" ht="17.100000000000001" customHeight="1">
      <c r="B12" s="61"/>
      <c r="C12" s="62"/>
      <c r="D12" s="21" t="s">
        <v>18</v>
      </c>
      <c r="E12" s="13">
        <v>12.858899999999998</v>
      </c>
      <c r="F12" s="13">
        <v>12.691199999999998</v>
      </c>
      <c r="G12" s="14">
        <f t="shared" si="0"/>
        <v>-0.16769999999999996</v>
      </c>
      <c r="H12" s="23"/>
      <c r="I12" s="16"/>
      <c r="N12" s="24"/>
      <c r="W12" s="20"/>
      <c r="Z12"/>
    </row>
    <row r="13" spans="2:26" ht="17.100000000000001" customHeight="1">
      <c r="B13" s="61"/>
      <c r="C13" s="62"/>
      <c r="D13" s="21" t="s">
        <v>19</v>
      </c>
      <c r="E13" s="13">
        <v>19.601700000000001</v>
      </c>
      <c r="F13" s="13">
        <v>19.3781</v>
      </c>
      <c r="G13" s="14">
        <f t="shared" si="0"/>
        <v>-0.22360000000000113</v>
      </c>
      <c r="H13" s="23"/>
      <c r="I13" s="16"/>
      <c r="W13" s="20"/>
      <c r="X13" s="16"/>
      <c r="Z13" s="12" t="s">
        <v>20</v>
      </c>
    </row>
    <row r="14" spans="2:26" ht="17.100000000000001" customHeight="1">
      <c r="B14" s="61" t="s">
        <v>21</v>
      </c>
      <c r="C14" s="62"/>
      <c r="D14" s="62"/>
      <c r="E14" s="13">
        <v>18.2332</v>
      </c>
      <c r="F14" s="13">
        <v>18.009599999999999</v>
      </c>
      <c r="G14" s="14">
        <f t="shared" si="0"/>
        <v>-0.22360000000000113</v>
      </c>
      <c r="H14" s="23"/>
      <c r="I14" s="16"/>
      <c r="W14" s="20"/>
    </row>
    <row r="15" spans="2:26" ht="17.100000000000001" customHeight="1">
      <c r="B15" s="61" t="s">
        <v>22</v>
      </c>
      <c r="C15" s="62"/>
      <c r="D15" s="62"/>
      <c r="E15" s="13">
        <v>17.618799999999997</v>
      </c>
      <c r="F15" s="13">
        <v>17.3948</v>
      </c>
      <c r="G15" s="14">
        <f t="shared" si="0"/>
        <v>-0.22399999999999665</v>
      </c>
      <c r="H15" s="23"/>
      <c r="I15" s="16"/>
      <c r="W15" s="20"/>
    </row>
    <row r="16" spans="2:26" ht="17.100000000000001" customHeight="1">
      <c r="B16" s="42" t="s">
        <v>23</v>
      </c>
      <c r="C16" s="43"/>
      <c r="D16" s="43"/>
      <c r="E16" s="13">
        <v>18.2332</v>
      </c>
      <c r="F16" s="13">
        <v>18.009599999999999</v>
      </c>
      <c r="G16" s="14">
        <f t="shared" si="0"/>
        <v>-0.22360000000000113</v>
      </c>
      <c r="H16" s="23"/>
      <c r="I16" s="16"/>
      <c r="W16" s="20"/>
    </row>
    <row r="17" spans="2:23" ht="17.100000000000001" customHeight="1">
      <c r="B17" s="61" t="s">
        <v>24</v>
      </c>
      <c r="C17" s="62"/>
      <c r="D17" s="21" t="s">
        <v>25</v>
      </c>
      <c r="E17" s="13">
        <v>22.131399999999999</v>
      </c>
      <c r="F17" s="13">
        <v>21.907799999999998</v>
      </c>
      <c r="G17" s="14">
        <f t="shared" si="0"/>
        <v>-0.22360000000000113</v>
      </c>
      <c r="H17" s="23"/>
      <c r="I17" s="16"/>
      <c r="K17" s="16"/>
      <c r="W17" s="20"/>
    </row>
    <row r="18" spans="2:23" ht="17.100000000000001" customHeight="1">
      <c r="B18" s="61"/>
      <c r="C18" s="62"/>
      <c r="D18" s="21" t="s">
        <v>26</v>
      </c>
      <c r="E18" s="13">
        <v>22.550800000000002</v>
      </c>
      <c r="F18" s="13">
        <v>22.327199999999998</v>
      </c>
      <c r="G18" s="14">
        <f t="shared" si="0"/>
        <v>-0.22360000000000468</v>
      </c>
      <c r="H18" s="23"/>
      <c r="I18" s="16"/>
      <c r="W18" s="20"/>
    </row>
    <row r="19" spans="2:23" ht="17.100000000000001" customHeight="1">
      <c r="B19" s="61"/>
      <c r="C19" s="62"/>
      <c r="D19" s="21" t="s">
        <v>27</v>
      </c>
      <c r="E19" s="13">
        <v>22.224600000000002</v>
      </c>
      <c r="F19" s="13">
        <v>22.000999999999998</v>
      </c>
      <c r="G19" s="14">
        <f t="shared" si="0"/>
        <v>-0.22360000000000468</v>
      </c>
      <c r="H19" s="23"/>
      <c r="I19" s="16"/>
      <c r="W19" s="20"/>
    </row>
    <row r="20" spans="2:23" ht="17.100000000000001" customHeight="1">
      <c r="B20" s="61"/>
      <c r="C20" s="62"/>
      <c r="D20" s="21" t="s">
        <v>28</v>
      </c>
      <c r="E20" s="13">
        <v>21.991599999999998</v>
      </c>
      <c r="F20" s="13">
        <v>21.768000000000001</v>
      </c>
      <c r="G20" s="14">
        <f t="shared" si="0"/>
        <v>-0.22359999999999758</v>
      </c>
      <c r="H20" s="23"/>
      <c r="I20" s="16"/>
      <c r="W20" s="20"/>
    </row>
    <row r="21" spans="2:23" ht="17.100000000000001" customHeight="1">
      <c r="B21" s="61"/>
      <c r="C21" s="62"/>
      <c r="D21" s="21" t="s">
        <v>29</v>
      </c>
      <c r="E21" s="13">
        <v>17.462</v>
      </c>
      <c r="F21" s="13">
        <v>17.238399999999999</v>
      </c>
      <c r="G21" s="14">
        <f t="shared" si="0"/>
        <v>-0.22360000000000113</v>
      </c>
      <c r="H21" s="23"/>
      <c r="I21" s="16"/>
      <c r="W21" s="20"/>
    </row>
    <row r="22" spans="2:23" ht="17.100000000000001" customHeight="1">
      <c r="B22" s="61"/>
      <c r="C22" s="62"/>
      <c r="D22" s="21" t="s">
        <v>30</v>
      </c>
      <c r="E22" s="13">
        <v>13.857399999999998</v>
      </c>
      <c r="F22" s="13">
        <v>13.6782</v>
      </c>
      <c r="G22" s="14">
        <f t="shared" si="0"/>
        <v>-0.17919999999999803</v>
      </c>
      <c r="H22" s="23"/>
      <c r="I22" s="16"/>
      <c r="W22" s="20"/>
    </row>
    <row r="23" spans="2:23" ht="17.100000000000001" customHeight="1">
      <c r="B23" s="42" t="s">
        <v>31</v>
      </c>
      <c r="C23" s="43"/>
      <c r="D23" s="43"/>
      <c r="E23" s="13">
        <v>17.828399999999998</v>
      </c>
      <c r="F23" s="13">
        <v>17.5334</v>
      </c>
      <c r="G23" s="14">
        <f t="shared" si="0"/>
        <v>-0.29499999999999815</v>
      </c>
      <c r="H23" s="23"/>
      <c r="I23" s="16"/>
      <c r="W23" s="20"/>
    </row>
    <row r="24" spans="2:23" ht="17.100000000000001" customHeight="1">
      <c r="B24" s="42" t="s">
        <v>32</v>
      </c>
      <c r="C24" s="43"/>
      <c r="D24" s="43"/>
      <c r="E24" s="13">
        <v>17.991199999999999</v>
      </c>
      <c r="F24" s="13">
        <v>17.696200000000001</v>
      </c>
      <c r="G24" s="14">
        <f t="shared" si="0"/>
        <v>-0.29499999999999815</v>
      </c>
      <c r="H24" s="23"/>
      <c r="I24" s="16"/>
      <c r="W24" s="20"/>
    </row>
    <row r="25" spans="2:23" ht="17.100000000000001" customHeight="1">
      <c r="B25" s="42" t="s">
        <v>33</v>
      </c>
      <c r="C25" s="43"/>
      <c r="D25" s="43"/>
      <c r="E25" s="13">
        <v>20.738900000000001</v>
      </c>
      <c r="F25" s="13">
        <v>20.5153</v>
      </c>
      <c r="G25" s="14">
        <f t="shared" si="0"/>
        <v>-0.22360000000000113</v>
      </c>
      <c r="H25" s="25"/>
      <c r="I25" s="16"/>
      <c r="W25" s="20"/>
    </row>
    <row r="26" spans="2:23" ht="17.100000000000001" customHeight="1">
      <c r="B26" s="42" t="s">
        <v>34</v>
      </c>
      <c r="C26" s="43"/>
      <c r="D26" s="43"/>
      <c r="E26" s="13">
        <v>21.0502</v>
      </c>
      <c r="F26" s="13">
        <v>20.826599999999999</v>
      </c>
      <c r="G26" s="14">
        <f t="shared" si="0"/>
        <v>-0.22360000000000113</v>
      </c>
      <c r="H26" s="25"/>
      <c r="I26" s="16"/>
      <c r="W26" s="20"/>
    </row>
    <row r="27" spans="2:23" ht="17.100000000000001" customHeight="1">
      <c r="B27" s="42" t="s">
        <v>35</v>
      </c>
      <c r="C27" s="43"/>
      <c r="D27" s="43"/>
      <c r="E27" s="13">
        <v>22.508399999999998</v>
      </c>
      <c r="F27" s="13">
        <v>22.508399999999998</v>
      </c>
      <c r="G27" s="14">
        <f t="shared" si="0"/>
        <v>0</v>
      </c>
      <c r="H27" s="25"/>
      <c r="I27" s="16"/>
      <c r="W27" s="20"/>
    </row>
    <row r="28" spans="2:23" ht="17.100000000000001" customHeight="1">
      <c r="B28" s="44" t="s">
        <v>36</v>
      </c>
      <c r="C28" s="45"/>
      <c r="D28" s="46"/>
      <c r="E28" s="13">
        <v>15.823399999999999</v>
      </c>
      <c r="F28" s="13">
        <v>15.5284</v>
      </c>
      <c r="G28" s="14">
        <f t="shared" si="0"/>
        <v>-0.29499999999999993</v>
      </c>
      <c r="H28" s="26"/>
      <c r="I28" s="16"/>
      <c r="W28" s="20"/>
    </row>
    <row r="29" spans="2:23" ht="17.100000000000001" customHeight="1">
      <c r="B29" s="47" t="s">
        <v>37</v>
      </c>
      <c r="C29" s="50" t="s">
        <v>38</v>
      </c>
      <c r="D29" s="50"/>
      <c r="E29" s="13">
        <v>21.740599999999997</v>
      </c>
      <c r="F29" s="13">
        <v>21.740599999999997</v>
      </c>
      <c r="G29" s="14">
        <f t="shared" si="0"/>
        <v>0</v>
      </c>
      <c r="H29" s="51" t="s">
        <v>39</v>
      </c>
      <c r="I29" s="16"/>
      <c r="W29" s="20"/>
    </row>
    <row r="30" spans="2:23" ht="17.100000000000001" customHeight="1">
      <c r="B30" s="48"/>
      <c r="C30" s="50" t="s">
        <v>40</v>
      </c>
      <c r="D30" s="50"/>
      <c r="E30" s="13">
        <v>21.740599999999997</v>
      </c>
      <c r="F30" s="13">
        <v>21.740599999999997</v>
      </c>
      <c r="G30" s="14">
        <f t="shared" si="0"/>
        <v>0</v>
      </c>
      <c r="H30" s="52"/>
      <c r="I30" s="16"/>
      <c r="W30" s="20"/>
    </row>
    <row r="31" spans="2:23" ht="17.100000000000001" customHeight="1">
      <c r="B31" s="48"/>
      <c r="C31" s="50" t="s">
        <v>41</v>
      </c>
      <c r="D31" s="50"/>
      <c r="E31" s="13">
        <v>20.754199999999997</v>
      </c>
      <c r="F31" s="13">
        <v>20.5306</v>
      </c>
      <c r="G31" s="14">
        <f t="shared" si="0"/>
        <v>-0.22359999999999758</v>
      </c>
      <c r="H31" s="52"/>
      <c r="I31" s="16"/>
      <c r="W31" s="20"/>
    </row>
    <row r="32" spans="2:23" ht="17.100000000000001" customHeight="1">
      <c r="B32" s="48"/>
      <c r="C32" s="55" t="s">
        <v>42</v>
      </c>
      <c r="D32" s="56"/>
      <c r="E32" s="13">
        <v>21.495699999999999</v>
      </c>
      <c r="F32" s="13">
        <v>21.495699999999999</v>
      </c>
      <c r="G32" s="14">
        <f t="shared" si="0"/>
        <v>0</v>
      </c>
      <c r="H32" s="53"/>
      <c r="I32" s="16"/>
      <c r="W32" s="20"/>
    </row>
    <row r="33" spans="2:23" ht="17.100000000000001" customHeight="1">
      <c r="B33" s="48"/>
      <c r="C33" s="57" t="s">
        <v>43</v>
      </c>
      <c r="D33" s="27" t="s">
        <v>17</v>
      </c>
      <c r="E33" s="13">
        <v>20.109499999999997</v>
      </c>
      <c r="F33" s="13">
        <v>19.885899999999999</v>
      </c>
      <c r="G33" s="14">
        <f t="shared" si="0"/>
        <v>-0.22359999999999758</v>
      </c>
      <c r="H33" s="53"/>
      <c r="I33" s="16"/>
      <c r="W33" s="20"/>
    </row>
    <row r="34" spans="2:23" ht="17.100000000000001" customHeight="1">
      <c r="B34" s="48"/>
      <c r="C34" s="50"/>
      <c r="D34" s="27" t="s">
        <v>18</v>
      </c>
      <c r="E34" s="13">
        <v>12.091100000000001</v>
      </c>
      <c r="F34" s="13">
        <v>11.923400000000001</v>
      </c>
      <c r="G34" s="14">
        <f t="shared" si="0"/>
        <v>-0.16769999999999996</v>
      </c>
      <c r="H34" s="53"/>
      <c r="I34" s="16"/>
      <c r="W34" s="20"/>
    </row>
    <row r="35" spans="2:23" ht="17.100000000000001" customHeight="1">
      <c r="B35" s="48"/>
      <c r="C35" s="50"/>
      <c r="D35" s="27" t="s">
        <v>19</v>
      </c>
      <c r="E35" s="13">
        <v>18.8339</v>
      </c>
      <c r="F35" s="13">
        <v>18.610299999999999</v>
      </c>
      <c r="G35" s="14">
        <f t="shared" si="0"/>
        <v>-0.22360000000000113</v>
      </c>
      <c r="H35" s="53"/>
      <c r="I35" s="16"/>
      <c r="W35" s="20"/>
    </row>
    <row r="36" spans="2:23" ht="17.100000000000001" customHeight="1" thickBot="1">
      <c r="B36" s="49"/>
      <c r="C36" s="58" t="s">
        <v>44</v>
      </c>
      <c r="D36" s="58"/>
      <c r="E36" s="28">
        <v>21.363599999999998</v>
      </c>
      <c r="F36" s="28">
        <v>21.14</v>
      </c>
      <c r="G36" s="29">
        <f t="shared" si="0"/>
        <v>-0.22359999999999758</v>
      </c>
      <c r="H36" s="54"/>
      <c r="I36" s="16"/>
      <c r="W36" s="20"/>
    </row>
    <row r="37" spans="2:23" ht="17.100000000000001" customHeight="1">
      <c r="B37" s="30" t="s">
        <v>45</v>
      </c>
      <c r="C37" s="31"/>
      <c r="D37" s="32"/>
      <c r="E37" s="32"/>
      <c r="F37" s="32"/>
      <c r="G37" s="33"/>
      <c r="H37" s="34"/>
    </row>
    <row r="38" spans="2:23" ht="14.25">
      <c r="B38" s="30"/>
      <c r="D38" s="35"/>
      <c r="E38" s="36"/>
      <c r="F38" s="35"/>
      <c r="G38" s="37"/>
      <c r="H38" s="38"/>
    </row>
    <row r="39" spans="2:23">
      <c r="E39" s="39"/>
      <c r="F39" s="39"/>
    </row>
    <row r="40" spans="2:23" ht="16.5">
      <c r="E40" s="40"/>
      <c r="F40" s="40"/>
      <c r="H40" s="41"/>
    </row>
  </sheetData>
  <mergeCells count="28">
    <mergeCell ref="B7:D7"/>
    <mergeCell ref="B2:H2"/>
    <mergeCell ref="B3:D3"/>
    <mergeCell ref="B4:D5"/>
    <mergeCell ref="H4:H5"/>
    <mergeCell ref="B6:D6"/>
    <mergeCell ref="B26:D26"/>
    <mergeCell ref="B8:D8"/>
    <mergeCell ref="B9:D9"/>
    <mergeCell ref="B10:D10"/>
    <mergeCell ref="B11:C13"/>
    <mergeCell ref="B14:D14"/>
    <mergeCell ref="B15:D15"/>
    <mergeCell ref="B16:D16"/>
    <mergeCell ref="B17:C22"/>
    <mergeCell ref="B23:D23"/>
    <mergeCell ref="B24:D24"/>
    <mergeCell ref="B25:D25"/>
    <mergeCell ref="B27:D27"/>
    <mergeCell ref="B28:D28"/>
    <mergeCell ref="B29:B36"/>
    <mergeCell ref="C29:D29"/>
    <mergeCell ref="H29:H36"/>
    <mergeCell ref="C30:D30"/>
    <mergeCell ref="C31:D31"/>
    <mergeCell ref="C32:D32"/>
    <mergeCell ref="C33:C35"/>
    <mergeCell ref="C36:D36"/>
  </mergeCells>
  <phoneticPr fontId="4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김광용</dc:creator>
  <cp:lastModifiedBy>김광용</cp:lastModifiedBy>
  <cp:lastPrinted>2025-07-01T00:45:25Z</cp:lastPrinted>
  <dcterms:created xsi:type="dcterms:W3CDTF">2025-06-30T05:31:30Z</dcterms:created>
  <dcterms:modified xsi:type="dcterms:W3CDTF">2025-07-30T23:51:51Z</dcterms:modified>
</cp:coreProperties>
</file>